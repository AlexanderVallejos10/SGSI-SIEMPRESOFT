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https://mguevarasahotmail.sharepoint.com/sites/Siempresoft-RepositoriodedocumentosonlinedeSiempresoft/Shared Documents/Repositorio de documentos online de Siempresoft/01 - Siempresoft/Registros/2025/"/>
    </mc:Choice>
  </mc:AlternateContent>
  <xr:revisionPtr revIDLastSave="3025" documentId="8_{D128BCB4-05C7-48C7-BD25-C44926F3A09A}" xr6:coauthVersionLast="47" xr6:coauthVersionMax="47" xr10:uidLastSave="{38C02AA8-C56C-4FE6-9ACB-51834FFE8517}"/>
  <bookViews>
    <workbookView xWindow="-120" yWindow="-120" windowWidth="20730" windowHeight="11040" firstSheet="1" activeTab="1" xr2:uid="{00000000-000D-0000-FFFF-FFFF00000000}"/>
  </bookViews>
  <sheets>
    <sheet name="Rendimiento SGSI" sheetId="1" r:id="rId1"/>
    <sheet name="Dashboard SGSI" sheetId="2" r:id="rId2"/>
    <sheet name="Rendimiento OESI" sheetId="3" r:id="rId3"/>
    <sheet name="Dashboard OESI" sheetId="4" r:id="rId4"/>
    <sheet name="Matriz OEE vs OSI" sheetId="5" r:id="rId5"/>
    <sheet name="Matriz EPI vs OSI" sheetId="6" r:id="rId6"/>
    <sheet name="MEFI" sheetId="7" r:id="rId7"/>
    <sheet name="MEFE" sheetId="8" r:id="rId8"/>
    <sheet name="EFIEFE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3" i="4"/>
  <c r="J2" i="4"/>
  <c r="K7" i="2"/>
  <c r="B18" i="7"/>
  <c r="J24" i="6"/>
  <c r="J14" i="5"/>
  <c r="D25" i="6"/>
  <c r="D24" i="6"/>
  <c r="K27" i="6"/>
  <c r="J27" i="6"/>
  <c r="I27" i="6"/>
  <c r="H27" i="6"/>
  <c r="G27" i="6"/>
  <c r="F27" i="6"/>
  <c r="E27" i="6"/>
  <c r="D27" i="6"/>
  <c r="C27" i="6"/>
  <c r="K3" i="6"/>
  <c r="E3" i="6"/>
  <c r="K17" i="5"/>
  <c r="C21" i="5" s="1"/>
  <c r="F17" i="5"/>
  <c r="E17" i="5"/>
  <c r="C17" i="5"/>
  <c r="D15" i="5"/>
  <c r="D14" i="5"/>
  <c r="K14" i="5" s="1"/>
  <c r="K3" i="5"/>
  <c r="C31" i="6" l="1"/>
  <c r="K24" i="6"/>
  <c r="E3" i="5"/>
  <c r="H10" i="4"/>
  <c r="H9" i="4"/>
  <c r="H8" i="4"/>
  <c r="H4" i="4"/>
  <c r="H2" i="4"/>
  <c r="K5" i="2"/>
  <c r="J17" i="5"/>
  <c r="I17" i="5"/>
  <c r="H17" i="5"/>
  <c r="G17" i="5"/>
  <c r="D17" i="5"/>
  <c r="H7" i="4"/>
  <c r="C30" i="6"/>
  <c r="C20" i="5"/>
  <c r="J3" i="6"/>
  <c r="I3" i="6"/>
  <c r="H3" i="6"/>
  <c r="G3" i="6"/>
  <c r="F3" i="6"/>
  <c r="D3" i="6"/>
  <c r="C3" i="6"/>
  <c r="J3" i="5"/>
  <c r="I3" i="5"/>
  <c r="H3" i="5"/>
  <c r="G3" i="5"/>
  <c r="F3" i="5"/>
  <c r="D3" i="5"/>
  <c r="C3" i="5"/>
  <c r="B16" i="8"/>
  <c r="B10" i="8"/>
  <c r="B23" i="7"/>
  <c r="K3" i="2"/>
  <c r="B24" i="7" l="1"/>
  <c r="B17" i="8"/>
  <c r="H3" i="4"/>
  <c r="J4" i="4" l="1"/>
  <c r="K2" i="4" s="1"/>
  <c r="K4" i="2"/>
  <c r="C32" i="6" l="1"/>
  <c r="C22" i="5" l="1"/>
  <c r="J2" i="2" s="1"/>
  <c r="K6" i="2"/>
  <c r="K2" i="2" l="1"/>
  <c r="K9" i="2" l="1"/>
  <c r="K8" i="2"/>
  <c r="K3" i="4"/>
  <c r="K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Karim Salazar</author>
    <author>tc={816FFA38-55DB-4AFA-943D-93E4627AA5D3}</author>
    <author>tc={C94C6F3C-27CF-40FC-B79E-DB616EB593B5}</author>
    <author>tc={8230F225-9621-4FE4-98DA-AD4ECF36E232}</author>
  </authors>
  <commentList>
    <comment ref="C1" authorId="0" shapeId="0" xr:uid="{A3ADD404-17B1-400A-8267-25C6C34CF0A4}">
      <text>
        <r>
          <rPr>
            <sz val="10"/>
            <color rgb="FF000000"/>
            <rFont val="Arial"/>
          </rPr>
          <t>Plan
Do
Check
Act</t>
        </r>
      </text>
    </comment>
    <comment ref="J3" authorId="1" shapeId="0" xr:uid="{816FFA38-55DB-4AFA-943D-93E4627AA5D3}">
      <text>
        <t>[Threaded comment]
Your version of Excel allows you to read this threaded comment; however, any edits to it will get removed if the file is opened in a newer version of Excel. Learn more: https://go.microsoft.com/fwlink/?linkid=870924
Comment:
    asignado 35000, gasto=29,918</t>
      </text>
    </comment>
    <comment ref="I7" authorId="2" shapeId="0" xr:uid="{C94C6F3C-27CF-40FC-B79E-DB616EB593B5}">
      <text>
        <t>[Threaded comment]
Your version of Excel allows you to read this threaded comment; however, any edits to it will get removed if the file is opened in a newer version of Excel. Learn more: https://go.microsoft.com/fwlink/?linkid=870924
Comment:
    Índice de Incidentes de Seguridad por Módulo y Causa (IISMC)
IISMC = Incidentes del módulo / Total de incidentes (en el mes) × 100
Tasa de recurrencia por causa = Incidentes asociados a la misma causa / Total de incidentes del mes × 100</t>
      </text>
    </comment>
    <comment ref="J7" authorId="3" shapeId="0" xr:uid="{8230F225-9621-4FE4-98DA-AD4ECF36E232}">
      <text>
        <t>[Threaded comment]
Your version of Excel allows you to read this threaded comment; however, any edits to it will get removed if the file is opened in a newer version of Excel. Learn more: https://go.microsoft.com/fwlink/?linkid=870924
Comment:
    módulo ventas/total incidentes*100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tc={9279C91D-7A66-472F-8972-F99870BCBAA8}</author>
  </authors>
  <commentList>
    <comment ref="B2" authorId="0" shapeId="0" xr:uid="{9279C91D-7A66-472F-8972-F99870BCBAA8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evaluar mantener o retirar (visto en informe de revision por la direccion)</t>
      </text>
    </comment>
  </commentList>
</comments>
</file>

<file path=xl/sharedStrings.xml><?xml version="1.0" encoding="utf-8"?>
<sst xmlns="http://schemas.openxmlformats.org/spreadsheetml/2006/main" count="424" uniqueCount="242">
  <si>
    <t>RENDIMIENTO SGSI</t>
  </si>
  <si>
    <t>ID Medición</t>
  </si>
  <si>
    <t>Descripción de medición</t>
  </si>
  <si>
    <t>Ciclo PDCA</t>
  </si>
  <si>
    <t>¿En qué proceso SGSI se encuentra?</t>
  </si>
  <si>
    <t>Método y/o recursos</t>
  </si>
  <si>
    <t>Objetivo de medición</t>
  </si>
  <si>
    <t>Responsable de obtener el cálculo</t>
  </si>
  <si>
    <t>Periodo de actualización de cálculo</t>
  </si>
  <si>
    <t>Indicador</t>
  </si>
  <si>
    <t>Cálculo actual</t>
  </si>
  <si>
    <t>¿Cumple?</t>
  </si>
  <si>
    <t>Planes de acción recomendados</t>
  </si>
  <si>
    <t>Porcentaje de OESIs alineados a los OEEs</t>
  </si>
  <si>
    <t>P</t>
  </si>
  <si>
    <t>Alineamiento de Objetivos de Seguridad de la Información y Objetivos Estratégicos de la Empresa</t>
  </si>
  <si>
    <t>Revisar la Matriz OEE vs OSI y verificar la fórmula de calificación que se aplicará a cada OSI.</t>
  </si>
  <si>
    <t>Determinar cuantos OSIs (Objetivos de Seguridad de la Información) se encuentran alineados en base al apoyo que brindan a los OEEs (Objetivos Estratégicos Empresariales).</t>
  </si>
  <si>
    <t>Gerente General</t>
  </si>
  <si>
    <t>Cada 12 meses</t>
  </si>
  <si>
    <t>&gt;= 85 %</t>
  </si>
  <si>
    <t>Analizar las estrategias empresariales para realizar los ajustes correspondientes respecto a los OEEs. Analizar las estrategias de Seguridad de la Información para realizar los ajustes correspondientes respecto a los OSI.</t>
  </si>
  <si>
    <t>Porcentaje de presupuesto cubierto por los costos de SGSI, según lo que se haya avanzado en el año</t>
  </si>
  <si>
    <t>C</t>
  </si>
  <si>
    <t>Evaluación de Riesgos de Seguridad de la Información</t>
  </si>
  <si>
    <t>Rastrear el gasto en procesos de gestión de riesgos de TI. El dato se puede obtener de los datos financieros que gestiona el área de Gerencia General.</t>
  </si>
  <si>
    <t>Determinar si se planifica el presupuesto asignado para el SGSI</t>
  </si>
  <si>
    <t>&lt;= 100 %</t>
  </si>
  <si>
    <t>Analizar si la eficiencia y efectividad del SGSI ameritan en aumentar o ajustar el presupuesto asignado para el siguiente periodo.</t>
  </si>
  <si>
    <t>Número de sucesos de indisponibilidad del Sistema SIEMPRESOFT ERP.</t>
  </si>
  <si>
    <t>Revisar y contar los reportes de incidentes donde se demuestre que el Sistema SIEMPRESOFT ERP haya quedado indisponible.</t>
  </si>
  <si>
    <t>Determinar la efectividad del SGSI en la operatividad de uno de los servicios más importante de SIEMPRESOFT por no seguir los documentos establecidos (políticas, procedimientos, estándares o instructivos)</t>
  </si>
  <si>
    <t>Oficial de Seguridad de la Información</t>
  </si>
  <si>
    <t>&lt;= 3</t>
  </si>
  <si>
    <t>Analizar si la documentación pertinente está manifestando ambigüedades en la operatividad del SGSI. Analizar si hay riesgos nuevos no cubiertos en la evaluación de riesgos.</t>
  </si>
  <si>
    <t>Número de sucesos de indisponibilidad del Servicio SIEMPRESOFT OSE.</t>
  </si>
  <si>
    <t>Revisar y contar los reportes de incidentes donde se demuestre que el Servicio SIEMPRESOFT OSE haya quedado indisponible.</t>
  </si>
  <si>
    <t>Determinar la efectividad del SGSI en la operatividad de los servicios más importante de SIEMPRESOFT por no seguir los documentos establecidos (políticas, procedimientos, estándares o instructivos)</t>
  </si>
  <si>
    <t>&lt;=3</t>
  </si>
  <si>
    <t>Promedio total de los colaboradores en todas las notas de los examenes de evaluación interna de comprensión de los documentos del SGSI</t>
  </si>
  <si>
    <t>Concienciación</t>
  </si>
  <si>
    <t>Revisar todos los exámenes brindados en la frecuencia establecida y promediar todas las notas de todos los colaboradores y obtener un promedio total en general para SIEMPRESOFT.</t>
  </si>
  <si>
    <t>Determinar la efectividad de los cursos o charlas impartidas o gestionadas por SIEMPRESOFT respecto a reforzar conocimientos de Seguridad de la Información.</t>
  </si>
  <si>
    <t>&gt;= 14</t>
  </si>
  <si>
    <t>Analizar si están siendo efectivos los métodos de enseñanza o capacitación dentro del plan de capacitación. Evaluar a los participantes y consultar sus puntos de vista respecto a los contenidos impartidos.</t>
  </si>
  <si>
    <t>Tasa de Incidentes de Seguridad por Módulo del ERP y Análisis de Causas</t>
  </si>
  <si>
    <t>Revisión por la Alta Dirección</t>
  </si>
  <si>
    <t>Numero de eventos e incidentes por módulo del ERP,   Registros de incidentes SGSI, indicadores de las causas de incidentes</t>
  </si>
  <si>
    <t>Identificar los procesos (módulos) del ERP que presentan mayor concentración de incidentes y sus causas principales, para mejorar la disponibilidad, continuidad y seguridad del servicio ofrecido como PSE/OSE y fortalecer la toma de decisiones de la Dirección.</t>
  </si>
  <si>
    <t>&lt;= 10%</t>
  </si>
  <si>
    <t>Reducir los incidentes recurrentes y las actualizaciones por base de datos</t>
  </si>
  <si>
    <t xml:space="preserve">incorporar nuevos indicadores de medición por área marco ITIL </t>
  </si>
  <si>
    <t>SI</t>
  </si>
  <si>
    <t>incorporar indicadores de los controles del anexoa</t>
  </si>
  <si>
    <t>NO</t>
  </si>
  <si>
    <t>RENDIMIENTO OBJETIVOS DE SGSI</t>
  </si>
  <si>
    <t>Periodo del cálculo</t>
  </si>
  <si>
    <t>Cantidad</t>
  </si>
  <si>
    <t>%</t>
  </si>
  <si>
    <t>Disminuir la cantidad de incidentes en un 30% en el servicio Siempresoft ERP en los próximos 12 meses. </t>
  </si>
  <si>
    <t>Revisar la cantidad de incidentes informados relacionados al Sistema SIEMPRESOFT ERP, comparado del total de incidentes al final de cada año.</t>
  </si>
  <si>
    <t>Jefe de soporte al cliente</t>
  </si>
  <si>
    <t>Mensual</t>
  </si>
  <si>
    <t>&gt;= 30%</t>
  </si>
  <si>
    <t>Permanecer en el Registro de Proveedor de Servicios Electrónicos (PSE) con porcentaje de constancias de recepción rechazadas menor al 2% en un año por cliente.</t>
  </si>
  <si>
    <t>Revisar las respuestas de SUNAT y contabilizar y calcular el porcentaje de las rechazadas en comparación del total.</t>
  </si>
  <si>
    <t>Asistente de Producción</t>
  </si>
  <si>
    <t>Cada 3 meses</t>
  </si>
  <si>
    <t>&lt;= 2 %</t>
  </si>
  <si>
    <t>Migrar más del 70% de clientes a la nueva arquitectura de Plataforma como Servicio en los próximos 12 meses.</t>
  </si>
  <si>
    <t>Incrementa la cantidad de ambientes migrados a la plataforma del ERP PaaS en cada mes.</t>
  </si>
  <si>
    <t>&gt;= 70%</t>
  </si>
  <si>
    <t>Permanecer en el Registro de Operadores de Servicios Electrónicos cumpliendo con el Listado de Requisitos y Obligaciones del OSE.</t>
  </si>
  <si>
    <t>Verificar el cumplimiento de las obligaciones que debe cumplir el OSE. Revisar la cantidad de incumplimientos en el año.</t>
  </si>
  <si>
    <t>Oficial de seguridad de la información</t>
  </si>
  <si>
    <t>= 100%</t>
  </si>
  <si>
    <t>Si</t>
  </si>
  <si>
    <t>Mejorar la puntuación de seguridad en los servicios de la nube, debe ser mayor al 75%. </t>
  </si>
  <si>
    <t>Incrementar el porcentaje de las recomendaciones de puntuación segura en los servicios en la nube comparado con el anterior</t>
  </si>
  <si>
    <t>Jefe de Producción</t>
  </si>
  <si>
    <t>Cada 6 meses</t>
  </si>
  <si>
    <t>&gt;= 75%</t>
  </si>
  <si>
    <t>Mejorar la puntuación de seguridad de los dispositivos endpoint, debe ser mayor al 75%. </t>
  </si>
  <si>
    <t xml:space="preserve">Incrementar el porcentaje de las recomendaciones de seguridad para los puntos de conexión. </t>
  </si>
  <si>
    <t>&gt;=75%</t>
  </si>
  <si>
    <t>Obtener un SLA de 99% de nuestros servicios en la nube (ERP). </t>
  </si>
  <si>
    <t xml:space="preserve">Contabilizar la cantidad de veces y el tiempo (horas) de respuesta ante la indisponibilidad de los servicios de Siempresoft (ERP). </t>
  </si>
  <si>
    <t>&lt; 86.40</t>
  </si>
  <si>
    <t>Mantener una disponibilidad del servicio ose en un 99.97%. </t>
  </si>
  <si>
    <t xml:space="preserve">Revisar la cantidad de veces y el tiempo (horas) que el sistema para validación de comprobantes OSE no está disponible (registro de incidencias) </t>
  </si>
  <si>
    <t>Responsable de Plataforma OSE</t>
  </si>
  <si>
    <t>&lt; 2.59</t>
  </si>
  <si>
    <t>Implementar DevOps en los procesos de desarrollo y despliegue en un nivel de madurez adecuado para la empresa.</t>
  </si>
  <si>
    <t>Implementar DevOps y garantizar el Level 3 aunque sea en unos de los Proyectos de Siempresoft al finalizar el año.</t>
  </si>
  <si>
    <t>Jefe de Desarrollo</t>
  </si>
  <si>
    <t>&gt;= 1</t>
  </si>
  <si>
    <t>Matriz de los Objetivos Estratégicos de la Empresa vs Objetivos Estratégicos de Seguridad de la Información</t>
  </si>
  <si>
    <r>
      <rPr>
        <b/>
        <sz val="9"/>
        <color rgb="FF6AA84F"/>
        <rFont val="Arial"/>
        <family val="2"/>
      </rPr>
      <t xml:space="preserve">OEE </t>
    </r>
    <r>
      <rPr>
        <sz val="9"/>
        <color rgb="FF000000"/>
        <rFont val="Arial"/>
        <family val="2"/>
      </rPr>
      <t xml:space="preserve">\ </t>
    </r>
    <r>
      <rPr>
        <b/>
        <sz val="9"/>
        <color rgb="FF4A86E8"/>
        <rFont val="Arial"/>
        <family val="2"/>
      </rPr>
      <t>OSI</t>
    </r>
  </si>
  <si>
    <t>OESI1</t>
  </si>
  <si>
    <t>OESI2</t>
  </si>
  <si>
    <t>OESI3</t>
  </si>
  <si>
    <t>OESI4</t>
  </si>
  <si>
    <t>OESI5</t>
  </si>
  <si>
    <t>OESI6</t>
  </si>
  <si>
    <t>OESI7</t>
  </si>
  <si>
    <t>OESI8</t>
  </si>
  <si>
    <t>OESI9</t>
  </si>
  <si>
    <t>OEE1</t>
  </si>
  <si>
    <t>Implementación del área de Marketing para publicitar servicios y mejora de imagen corporativa.</t>
  </si>
  <si>
    <t>S</t>
  </si>
  <si>
    <t>OEE2</t>
  </si>
  <si>
    <t>Fidelizar a clientes a través de la administración del éxito del cliente (SCM), reducir tasa de abandono a 2%.</t>
  </si>
  <si>
    <t>OEE3</t>
  </si>
  <si>
    <t>Crear agentes de IA para automatizar ciertos procesos del ERP. Crear un mínimo de 3 agentes.</t>
  </si>
  <si>
    <t>OEE4</t>
  </si>
  <si>
    <t>Mejorar el área de Soporte al cliente mediante el uso de IA como Chatbot y agentes de voz que permitirá reducir tiempos de respuesta y disponibilidad de atención básica 24/7.</t>
  </si>
  <si>
    <t>OEE5</t>
  </si>
  <si>
    <t>Retener el talento a través de mejoras en condiciones laborales y capacitación.</t>
  </si>
  <si>
    <t>OEE6</t>
  </si>
  <si>
    <t>Implementar crecimiento guiado por el producto.</t>
  </si>
  <si>
    <t>OEE7</t>
  </si>
  <si>
    <t>Automatizar la entrega de nuevas versiones del ERP, reduciendo tiempo de pruebas y el uso de tecnologías de entrega continua.</t>
  </si>
  <si>
    <t>OEE8</t>
  </si>
  <si>
    <t>Hacer escalable el ERP sin depender de infraestructura, trasladando mayor responsabilidad al proveedor de la nube.</t>
  </si>
  <si>
    <t>Leyenda</t>
  </si>
  <si>
    <t>Valor</t>
  </si>
  <si>
    <t>Puntuación</t>
  </si>
  <si>
    <t>Descripción</t>
  </si>
  <si>
    <t>Valor mínimo</t>
  </si>
  <si>
    <t>Obtenido</t>
  </si>
  <si>
    <t>P = Primario | Puede existir máximo un primario por OSI según los OEE | Equivale a 3 puntos</t>
  </si>
  <si>
    <t>Evaluación de alineamiento de OSI con los OEEs.</t>
  </si>
  <si>
    <t>S = Secundario | No se exige mínimo ni máximo | Equivale a 1 punto</t>
  </si>
  <si>
    <t>PUNTAJE</t>
  </si>
  <si>
    <t>Evaluación TOTAL</t>
  </si>
  <si>
    <t>Mínimo esperado</t>
  </si>
  <si>
    <t>% Representación</t>
  </si>
  <si>
    <t>Matriz de las Expectativas de la Partes Interesadas vs Objetivos de Seguridad de la Información</t>
  </si>
  <si>
    <r>
      <rPr>
        <b/>
        <sz val="10"/>
        <color rgb="FF6AA84F"/>
        <rFont val="Arial"/>
        <family val="2"/>
      </rPr>
      <t xml:space="preserve">EPI </t>
    </r>
    <r>
      <rPr>
        <sz val="10"/>
        <color rgb="FF000000"/>
        <rFont val="Arial"/>
        <family val="2"/>
      </rPr>
      <t xml:space="preserve">\ </t>
    </r>
    <r>
      <rPr>
        <b/>
        <sz val="10"/>
        <color rgb="FF4A86E8"/>
        <rFont val="Arial"/>
        <family val="2"/>
      </rPr>
      <t>OSI</t>
    </r>
  </si>
  <si>
    <t>Clientes</t>
  </si>
  <si>
    <t>Que los servicios brindados por SIEMPRESOFT generen valor agregado para su negocio a través de un sistema SEGURO con la información disponible, íntegra y confidencial.</t>
  </si>
  <si>
    <t xml:space="preserve">Que los servicios cubran los acuerdos contractuales respetando los contratos establecidos. </t>
  </si>
  <si>
    <t>Entidades gubernamentales </t>
  </si>
  <si>
    <t>Que los servicios informáticos que brinda SIEMPRESOFT a los contribuyentes respecto a Facturación Electrónica, cumplan con la LEY DE PROTECCIÓN DE DATOS PERSONALES entre otras leyes y regulaciones.</t>
  </si>
  <si>
    <t>SUNAT</t>
  </si>
  <si>
    <t>Que los servicios informáticos que brinda SIEMPRESOFT a los contribuyentes respecto a Facturación Electrónica y validación de comprobantes, cumplan con las resoluciones emitidas para la Seguridad de la Información. </t>
  </si>
  <si>
    <t>Que la empresa se certifique y mantenga la norma ISO 27001.</t>
  </si>
  <si>
    <t>Dueño de la empresa</t>
  </si>
  <si>
    <t>Que el Sistema de Gestión de Seguridad de la Información sea efectivo para apoyar a la toma de decisiones y lograr el éxito de los objetivos estratégicos.</t>
  </si>
  <si>
    <t>Que   el   Sistema   de   Gestión   de   Seguridad   de   la Información  genere  valor  financiero  a  SIEMPRESOFT para obtener el Retorno de Inversión.</t>
  </si>
  <si>
    <t>Colaboradores</t>
  </si>
  <si>
    <t>Que el Sistema de Gestión de Seguridad de la Información sea entendible y fácil de ejecutar para lograr el cumplimiento con las políticas y documentos que la comprenden.</t>
  </si>
  <si>
    <t>Que exista capacitación constante para actualizar los conocimientos necesarios para cumplir con el SGSI.</t>
  </si>
  <si>
    <t>Que las condiciones de continuidad de seguridad de la información estén planificadas con el objetivo de cumplir con el SGSI ante una situación de desastre.</t>
  </si>
  <si>
    <t>Proveedores y socios</t>
  </si>
  <si>
    <t>Que las alianzas contractuales cubran la protección de información sensible de una forma segura y eficaz.</t>
  </si>
  <si>
    <t>Micrsoft Azure</t>
  </si>
  <si>
    <t>Que la integración de la Plataforma Azure en el Sistema de Gestión de Seguridad de la Información mantenga la solidez respecto a la confidencialidad y disponibilidad de los servicios.</t>
  </si>
  <si>
    <t>Microsoft Office </t>
  </si>
  <si>
    <t>Que los datos de los usuarios estén asegurados y proteja los dispositivos de ataques y amenazas de seguridad. </t>
  </si>
  <si>
    <t>Auditores externos</t>
  </si>
  <si>
    <t>Que SIEMPRESOFT esté manteniendo eficientemente la evolución del SGSI según el cumplimiento normativo.</t>
  </si>
  <si>
    <t>INDECI</t>
  </si>
  <si>
    <t>Que SIEMPRESOFT cumpla con los requisitos mínimos de seguridad física en los ambientes de trabajo.</t>
  </si>
  <si>
    <t>Proveedores de Servicios Electrónicos </t>
  </si>
  <si>
    <t>Que el servicio cubra con los acuerdos contractuales para evitar incumplimientos tributarios y sanciones legales con SUNAT. </t>
  </si>
  <si>
    <t xml:space="preserve">Competidores
</t>
  </si>
  <si>
    <t>Que la competencia impulse a mejorar los productos y servicios de SIEMPRESOFT.</t>
  </si>
  <si>
    <t>Miembros de la ISO/IEC</t>
  </si>
  <si>
    <t>Favorecer a la evolución del cambio climático.</t>
  </si>
  <si>
    <t>P = Primario | Puede existir máximo un primario por OSI según los RyEPI | Equivale a 3 puntos</t>
  </si>
  <si>
    <t>MATRIZ DE EVALUACIÓN DE FACTORES INTERNOS</t>
  </si>
  <si>
    <t>Factor crítico de éxito</t>
  </si>
  <si>
    <t>Clasificación</t>
  </si>
  <si>
    <t>FORTALEZAS</t>
  </si>
  <si>
    <t>Única empresa de software con PSE autorizado en Chiclayo.</t>
  </si>
  <si>
    <t>Única empresa de software en la región Lambayeque autorizado como OSE.</t>
  </si>
  <si>
    <t>Integración de servicios ERP, PSE y OSE.</t>
  </si>
  <si>
    <t>Servicio de atención de incidentes por llamadas telefónicas.</t>
  </si>
  <si>
    <t>Rentabilidad sostenible.</t>
  </si>
  <si>
    <t>Mas de 500 empresas confían en Siempresoft.</t>
  </si>
  <si>
    <t>Mas de 14 años de experiencia.</t>
  </si>
  <si>
    <t>Preparado para distintos rubros de negocios.</t>
  </si>
  <si>
    <t>Certificación internacional en Seguridad de la Información - ISO 27001.</t>
  </si>
  <si>
    <t>Servicio SAAS ofrecido en la nube 24 x 7.</t>
  </si>
  <si>
    <t>Alianzas con estudios contables</t>
  </si>
  <si>
    <t>El Acuerdo de Nivel de Servicio (SLA) superior al 99%.</t>
  </si>
  <si>
    <t>Servicios desplegados en Plataforma como Servicio (PaaS)</t>
  </si>
  <si>
    <t>Aplicativos multiplataforma (Android, IOS, Windows</t>
  </si>
  <si>
    <t>Subtotal FORTALEZAS</t>
  </si>
  <si>
    <t>DEBILIDADES</t>
  </si>
  <si>
    <t>Falta de fuerza de Ventas y Marketing.</t>
  </si>
  <si>
    <t>Falta de seguimiento a los nuevos requerimientos.</t>
  </si>
  <si>
    <t>Falta de Integración de pruebas unitarias en la fase de desarrollo</t>
  </si>
  <si>
    <t>Subtotal DEBILIDADES</t>
  </si>
  <si>
    <t>Total</t>
  </si>
  <si>
    <t>- Clasificación: (1) Debilidad mayor | (2) Debilidad menor | (3) Fortaleza menor | (4) Fortaleza mayor</t>
  </si>
  <si>
    <t xml:space="preserve">- Si el total es mayor igual a 2.5, indica que la empresa presenta más fortalezas que debilidades. Si el total es menor que 2.5, indica que la empresa presenta más debilidades que fortalezas </t>
  </si>
  <si>
    <t>- Respecto a los subtotales, se busca que el subtotal de FORTALEZAS sea mayor al subtotal de las DEBILIDADES</t>
  </si>
  <si>
    <t>Consieraciones NTP ISO-IEC/31010:2017</t>
  </si>
  <si>
    <t xml:space="preserve">- las capacidades de la organización en términos de recursos y conocimiento, </t>
  </si>
  <si>
    <t xml:space="preserve">- los flujos de información y los procesos de toma de decisiones, </t>
  </si>
  <si>
    <t xml:space="preserve">- las partes interesadas internas, </t>
  </si>
  <si>
    <t xml:space="preserve">- los objetivos y las estrategias implementadas para lograrlos, </t>
  </si>
  <si>
    <t xml:space="preserve">- las percepciones, los valores y la cultura, </t>
  </si>
  <si>
    <t xml:space="preserve">- las políticas y los procesos, </t>
  </si>
  <si>
    <t>- las normas y los modelos de referencia adoptados por la organización, y</t>
  </si>
  <si>
    <t>- las estructuras (por ejemplo de gobernanza, roles y responsabilidades).</t>
  </si>
  <si>
    <t>MATRIZ DE EVALUACIÓN DE FACTORES EXTERNOS</t>
  </si>
  <si>
    <t>OPORTUNIDADES</t>
  </si>
  <si>
    <t>Falta de empresas PSE y OSE acreditadas por SUNAT en el departamento de Lambayeque</t>
  </si>
  <si>
    <t>Mercado en crecimiento de contribuyentes obligados a Facturación Electrónica</t>
  </si>
  <si>
    <t>Beneficio a los clientes por medio de la plataforma marketplace de Siempresoft (B2C).</t>
  </si>
  <si>
    <t>Ofrecer un B2B a los clientes.</t>
  </si>
  <si>
    <t>Prestigio y recomendación de nuestros propios clientes.</t>
  </si>
  <si>
    <t>Inteligencia artificial</t>
  </si>
  <si>
    <t>Subtotal OPORTUNIDADES</t>
  </si>
  <si>
    <t>AMENAZAS</t>
  </si>
  <si>
    <t>Crisis económica, política y sanitaria.</t>
  </si>
  <si>
    <t xml:space="preserve">  </t>
  </si>
  <si>
    <t>Aumento de competencia formal e informal con precios bajos.</t>
  </si>
  <si>
    <t>Ataques informáticos al servicio en la nube, riesgos de seguridad, fuga de datos.</t>
  </si>
  <si>
    <t>Perder la acreditación PSE, OSE y certificación ISO 27001.</t>
  </si>
  <si>
    <t>Subtotal AMENAZAS</t>
  </si>
  <si>
    <t>- Clasificación: (4) La empresa está trabajando duro | (3) La empresa trabaja más que la competencia del sector | (2) La empresa trabaja lo justo | (1) La empresa no está haciendo nada</t>
  </si>
  <si>
    <t xml:space="preserve">- Si el total es mayor igual a 2.5, indica que la empresa presenta más oportunidades que amenazas. Si el total es menor que 2.5, indica que la empresa presenta más amenazas que oportunidades. </t>
  </si>
  <si>
    <t>- Respecto a los subtotales, se busca que el subtotal de OPORTUNIDADES sea mayor al subtotal de las AMENAZAS</t>
  </si>
  <si>
    <t xml:space="preserve">- factores del entorno cultural, político, legal, reglamentario, financiero, económico y competitivo, bien sea internacional, nacional, regional o local; </t>
  </si>
  <si>
    <t xml:space="preserve">- tendencias y motivadores clave que tienen impacto en los objetivos de la organización; y </t>
  </si>
  <si>
    <t>- percepciones y valores de las partes interesadas externas.</t>
  </si>
  <si>
    <t>MATRIZ EFI/EFE SIEMPRESOFT EIRL</t>
  </si>
  <si>
    <t>TOTALES PONDERADOS EFE</t>
  </si>
  <si>
    <t>TOTALES PONDERADOS EFI</t>
  </si>
  <si>
    <t>5.00</t>
  </si>
  <si>
    <t>X</t>
  </si>
  <si>
    <t>4.00</t>
  </si>
  <si>
    <t>3.00</t>
  </si>
  <si>
    <t>2.00</t>
  </si>
  <si>
    <t>1.00</t>
  </si>
  <si>
    <t>Posición fuerte para crecer y construir</t>
  </si>
  <si>
    <t>Posición promedio para mantenerse</t>
  </si>
  <si>
    <t>Posición débil para cosechar o desinvertir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</si>
</sst>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7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sz val="24"/>
      <name val="Arial"/>
      <family val="2"/>
    </font>
    <font>
      <b/>
      <sz val="10"/>
      <color rgb="FF6AA84F"/>
      <name val="Arial"/>
      <family val="2"/>
    </font>
    <font>
      <b/>
      <sz val="10"/>
      <color rgb="FF4A86E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6AA84F"/>
      <name val="Arial"/>
      <family val="2"/>
    </font>
    <font>
      <b/>
      <sz val="9"/>
      <color rgb="FF4A86E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0"/>
      <color rgb="FF203764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98">
    <xf numFmtId="0" fontId="0" fillId="0" borderId="0" xfId="0"/>
    <xf numFmtId="0" fontId="1" fillId="0" borderId="0" xfId="0" applyFont="1"/>
    <xf numFmtId="0" fontId="1" fillId="8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2" fillId="9" borderId="1" xfId="0" applyFont="1" applyFill="1" applyBorder="1"/>
    <xf numFmtId="2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2" fillId="7" borderId="0" xfId="0" applyFont="1" applyFill="1"/>
    <xf numFmtId="0" fontId="2" fillId="3" borderId="0" xfId="0" applyFont="1" applyFill="1"/>
    <xf numFmtId="0" fontId="2" fillId="11" borderId="0" xfId="0" applyFont="1" applyFill="1"/>
    <xf numFmtId="0" fontId="7" fillId="0" borderId="0" xfId="0" applyFont="1"/>
    <xf numFmtId="0" fontId="0" fillId="12" borderId="0" xfId="0" applyFill="1"/>
    <xf numFmtId="0" fontId="10" fillId="12" borderId="0" xfId="0" applyFont="1" applyFill="1"/>
    <xf numFmtId="0" fontId="15" fillId="0" borderId="0" xfId="0" applyFont="1"/>
    <xf numFmtId="0" fontId="14" fillId="8" borderId="1" xfId="0" applyFont="1" applyFill="1" applyBorder="1"/>
    <xf numFmtId="0" fontId="16" fillId="0" borderId="1" xfId="0" applyFont="1" applyBorder="1"/>
    <xf numFmtId="0" fontId="14" fillId="0" borderId="1" xfId="0" applyFont="1" applyBorder="1" applyAlignment="1">
      <alignment horizontal="right"/>
    </xf>
    <xf numFmtId="0" fontId="16" fillId="9" borderId="1" xfId="0" applyFont="1" applyFill="1" applyBorder="1"/>
    <xf numFmtId="2" fontId="16" fillId="0" borderId="1" xfId="0" applyNumberFormat="1" applyFont="1" applyBorder="1"/>
    <xf numFmtId="0" fontId="14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2" fontId="16" fillId="0" borderId="1" xfId="0" applyNumberFormat="1" applyFont="1" applyBorder="1" applyAlignment="1">
      <alignment horizontal="center" vertical="center"/>
    </xf>
    <xf numFmtId="9" fontId="15" fillId="0" borderId="0" xfId="1" applyNumberFormat="1" applyFont="1" applyAlignment="1"/>
    <xf numFmtId="2" fontId="16" fillId="0" borderId="1" xfId="0" applyNumberFormat="1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2" fontId="1" fillId="0" borderId="2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left" wrapText="1"/>
    </xf>
    <xf numFmtId="0" fontId="0" fillId="0" borderId="0" xfId="0" quotePrefix="1"/>
    <xf numFmtId="0" fontId="23" fillId="0" borderId="0" xfId="0" applyFont="1"/>
    <xf numFmtId="2" fontId="22" fillId="0" borderId="12" xfId="0" applyNumberFormat="1" applyFont="1" applyBorder="1" applyAlignment="1">
      <alignment horizontal="center"/>
    </xf>
    <xf numFmtId="0" fontId="24" fillId="0" borderId="0" xfId="0" applyFont="1"/>
    <xf numFmtId="0" fontId="21" fillId="0" borderId="8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2" fontId="22" fillId="0" borderId="12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wrapText="1"/>
    </xf>
    <xf numFmtId="0" fontId="15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textRotation="90" wrapText="1"/>
    </xf>
    <xf numFmtId="0" fontId="20" fillId="4" borderId="1" xfId="0" applyFont="1" applyFill="1" applyBorder="1"/>
    <xf numFmtId="0" fontId="2" fillId="7" borderId="1" xfId="0" applyFont="1" applyFill="1" applyBorder="1" applyAlignment="1">
      <alignment horizontal="justify" vertical="justify" wrapText="1"/>
    </xf>
    <xf numFmtId="0" fontId="0" fillId="7" borderId="1" xfId="0" applyFill="1" applyBorder="1" applyAlignment="1">
      <alignment horizontal="justify" vertical="justify" wrapText="1"/>
    </xf>
    <xf numFmtId="0" fontId="19" fillId="5" borderId="1" xfId="0" applyFont="1" applyFill="1" applyBorder="1" applyAlignment="1">
      <alignment horizontal="justify" vertical="center" wrapText="1"/>
    </xf>
    <xf numFmtId="0" fontId="16" fillId="5" borderId="1" xfId="0" applyFont="1" applyFill="1" applyBorder="1" applyAlignment="1">
      <alignment horizontal="justify" vertical="center" wrapText="1"/>
    </xf>
    <xf numFmtId="0" fontId="14" fillId="8" borderId="7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0" fillId="0" borderId="0" xfId="0" applyFont="1"/>
    <xf numFmtId="0" fontId="1" fillId="8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 wrapText="1"/>
    </xf>
    <xf numFmtId="0" fontId="6" fillId="7" borderId="0" xfId="0" applyFont="1" applyFill="1" applyAlignment="1">
      <alignment vertical="center"/>
    </xf>
    <xf numFmtId="0" fontId="6" fillId="7" borderId="15" xfId="0" applyFont="1" applyFill="1" applyBorder="1" applyAlignment="1">
      <alignment vertical="center"/>
    </xf>
    <xf numFmtId="0" fontId="6" fillId="7" borderId="16" xfId="0" applyFont="1" applyFill="1" applyBorder="1" applyAlignment="1">
      <alignment vertical="center"/>
    </xf>
    <xf numFmtId="0" fontId="6" fillId="7" borderId="17" xfId="0" applyFont="1" applyFill="1" applyBorder="1" applyAlignment="1">
      <alignment vertical="center"/>
    </xf>
    <xf numFmtId="0" fontId="6" fillId="7" borderId="18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 wrapText="1"/>
    </xf>
    <xf numFmtId="9" fontId="16" fillId="0" borderId="1" xfId="0" applyNumberFormat="1" applyFont="1" applyBorder="1" applyAlignment="1">
      <alignment horizontal="center" vertical="center"/>
    </xf>
    <xf numFmtId="9" fontId="15" fillId="0" borderId="0" xfId="2" applyFont="1" applyAlignment="1"/>
    <xf numFmtId="0" fontId="14" fillId="0" borderId="1" xfId="0" applyFont="1" applyBorder="1" applyAlignment="1">
      <alignment horizontal="center" vertical="center" wrapText="1"/>
    </xf>
    <xf numFmtId="10" fontId="16" fillId="0" borderId="1" xfId="0" applyNumberFormat="1" applyFont="1" applyBorder="1" applyAlignment="1">
      <alignment horizontal="center" vertical="center" wrapText="1"/>
    </xf>
    <xf numFmtId="0" fontId="16" fillId="0" borderId="7" xfId="0" quotePrefix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9" fontId="16" fillId="0" borderId="7" xfId="2" applyFont="1" applyFill="1" applyBorder="1" applyAlignment="1">
      <alignment horizontal="center" vertical="center" wrapText="1"/>
    </xf>
    <xf numFmtId="9" fontId="16" fillId="0" borderId="1" xfId="2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9" fontId="16" fillId="0" borderId="7" xfId="2" applyFont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4" fillId="0" borderId="7" xfId="0" applyFont="1" applyBorder="1" applyAlignment="1">
      <alignment horizontal="center" vertical="center" wrapText="1"/>
    </xf>
    <xf numFmtId="2" fontId="15" fillId="0" borderId="7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9" fontId="16" fillId="0" borderId="1" xfId="0" quotePrefix="1" applyNumberFormat="1" applyFont="1" applyBorder="1" applyAlignment="1">
      <alignment horizontal="center" vertical="center" wrapText="1"/>
    </xf>
    <xf numFmtId="0" fontId="15" fillId="0" borderId="1" xfId="0" quotePrefix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6" fillId="0" borderId="1" xfId="0" applyFont="1" applyBorder="1" applyAlignment="1">
      <alignment horizontal="justify" vertical="top" wrapText="1"/>
    </xf>
    <xf numFmtId="49" fontId="16" fillId="0" borderId="1" xfId="0" applyNumberFormat="1" applyFont="1" applyBorder="1" applyAlignment="1">
      <alignment horizontal="justify" vertical="top" wrapText="1"/>
    </xf>
    <xf numFmtId="0" fontId="16" fillId="0" borderId="7" xfId="0" applyFont="1" applyBorder="1" applyAlignment="1">
      <alignment horizontal="justify" vertical="top" wrapText="1"/>
    </xf>
    <xf numFmtId="0" fontId="15" fillId="0" borderId="1" xfId="0" applyFont="1" applyBorder="1" applyAlignment="1">
      <alignment horizontal="justify" vertical="top" wrapText="1"/>
    </xf>
    <xf numFmtId="0" fontId="20" fillId="4" borderId="19" xfId="0" applyFont="1" applyFill="1" applyBorder="1"/>
    <xf numFmtId="0" fontId="20" fillId="4" borderId="9" xfId="0" applyFont="1" applyFill="1" applyBorder="1"/>
    <xf numFmtId="0" fontId="20" fillId="4" borderId="23" xfId="0" applyFont="1" applyFill="1" applyBorder="1"/>
    <xf numFmtId="0" fontId="20" fillId="4" borderId="24" xfId="0" applyFont="1" applyFill="1" applyBorder="1"/>
    <xf numFmtId="0" fontId="20" fillId="4" borderId="25" xfId="0" applyFont="1" applyFill="1" applyBorder="1"/>
    <xf numFmtId="0" fontId="20" fillId="4" borderId="26" xfId="0" applyFont="1" applyFill="1" applyBorder="1"/>
    <xf numFmtId="0" fontId="20" fillId="4" borderId="27" xfId="0" applyFont="1" applyFill="1" applyBorder="1"/>
    <xf numFmtId="0" fontId="19" fillId="5" borderId="20" xfId="0" applyFont="1" applyFill="1" applyBorder="1" applyAlignment="1">
      <alignment horizontal="justify" vertical="top" wrapText="1"/>
    </xf>
    <xf numFmtId="0" fontId="19" fillId="5" borderId="30" xfId="0" applyFont="1" applyFill="1" applyBorder="1" applyAlignment="1">
      <alignment horizontal="justify" vertical="top" wrapText="1"/>
    </xf>
    <xf numFmtId="0" fontId="16" fillId="5" borderId="30" xfId="0" applyFont="1" applyFill="1" applyBorder="1" applyAlignment="1">
      <alignment horizontal="justify" vertical="top" wrapText="1"/>
    </xf>
    <xf numFmtId="0" fontId="19" fillId="5" borderId="31" xfId="0" applyFont="1" applyFill="1" applyBorder="1" applyAlignment="1">
      <alignment horizontal="justify" vertical="top" wrapText="1"/>
    </xf>
    <xf numFmtId="0" fontId="19" fillId="5" borderId="32" xfId="0" applyFont="1" applyFill="1" applyBorder="1" applyAlignment="1">
      <alignment horizontal="justify" vertical="top" wrapText="1"/>
    </xf>
    <xf numFmtId="0" fontId="19" fillId="5" borderId="33" xfId="0" applyFont="1" applyFill="1" applyBorder="1" applyAlignment="1">
      <alignment horizontal="justify" vertical="top" wrapText="1"/>
    </xf>
    <xf numFmtId="0" fontId="19" fillId="5" borderId="34" xfId="0" applyFont="1" applyFill="1" applyBorder="1" applyAlignment="1">
      <alignment horizontal="justify" vertical="top" wrapText="1"/>
    </xf>
    <xf numFmtId="0" fontId="19" fillId="7" borderId="8" xfId="0" applyFont="1" applyFill="1" applyBorder="1" applyAlignment="1">
      <alignment horizontal="justify" vertical="top" wrapText="1"/>
    </xf>
    <xf numFmtId="0" fontId="15" fillId="0" borderId="0" xfId="0" applyFont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21" fillId="6" borderId="35" xfId="0" applyFont="1" applyFill="1" applyBorder="1" applyAlignment="1">
      <alignment horizontal="center" vertical="top" textRotation="90" wrapText="1"/>
    </xf>
    <xf numFmtId="0" fontId="15" fillId="7" borderId="9" xfId="0" applyFont="1" applyFill="1" applyBorder="1" applyAlignment="1">
      <alignment horizontal="justify" vertical="top" wrapText="1"/>
    </xf>
    <xf numFmtId="0" fontId="21" fillId="0" borderId="9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6" borderId="36" xfId="0" applyFont="1" applyFill="1" applyBorder="1" applyAlignment="1">
      <alignment horizontal="center" vertical="top" textRotation="90" wrapText="1"/>
    </xf>
    <xf numFmtId="0" fontId="21" fillId="0" borderId="37" xfId="0" applyFont="1" applyBorder="1" applyAlignment="1">
      <alignment horizontal="center" vertical="center"/>
    </xf>
    <xf numFmtId="0" fontId="21" fillId="6" borderId="38" xfId="0" applyFont="1" applyFill="1" applyBorder="1" applyAlignment="1">
      <alignment horizontal="center" vertical="top" textRotation="90" wrapText="1"/>
    </xf>
    <xf numFmtId="0" fontId="19" fillId="7" borderId="30" xfId="0" applyFont="1" applyFill="1" applyBorder="1" applyAlignment="1">
      <alignment horizontal="justify" vertical="top" wrapText="1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6" fillId="13" borderId="1" xfId="0" applyFont="1" applyFill="1" applyBorder="1"/>
    <xf numFmtId="0" fontId="4" fillId="6" borderId="7" xfId="0" applyFont="1" applyFill="1" applyBorder="1" applyAlignment="1">
      <alignment textRotation="90" wrapText="1"/>
    </xf>
    <xf numFmtId="0" fontId="2" fillId="7" borderId="7" xfId="0" applyFont="1" applyFill="1" applyBorder="1" applyAlignment="1">
      <alignment horizontal="justify" vertical="justify" wrapText="1"/>
    </xf>
    <xf numFmtId="0" fontId="4" fillId="0" borderId="7" xfId="0" applyFont="1" applyBorder="1" applyAlignment="1">
      <alignment horizontal="center" vertical="center"/>
    </xf>
    <xf numFmtId="0" fontId="4" fillId="6" borderId="8" xfId="0" applyFont="1" applyFill="1" applyBorder="1" applyAlignment="1">
      <alignment textRotation="90" wrapText="1"/>
    </xf>
    <xf numFmtId="0" fontId="10" fillId="7" borderId="8" xfId="0" applyFont="1" applyFill="1" applyBorder="1" applyAlignment="1">
      <alignment horizontal="justify" vertical="justify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/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9" fillId="5" borderId="7" xfId="0" applyFont="1" applyFill="1" applyBorder="1" applyAlignment="1">
      <alignment horizontal="justify" vertical="center" wrapText="1"/>
    </xf>
    <xf numFmtId="0" fontId="1" fillId="10" borderId="7" xfId="0" applyFont="1" applyFill="1" applyBorder="1"/>
    <xf numFmtId="0" fontId="1" fillId="10" borderId="7" xfId="0" applyFont="1" applyFill="1" applyBorder="1" applyAlignment="1">
      <alignment vertical="center"/>
    </xf>
    <xf numFmtId="0" fontId="0" fillId="0" borderId="8" xfId="0" applyBorder="1"/>
    <xf numFmtId="0" fontId="10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6" fillId="7" borderId="5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7" borderId="13" xfId="0" applyFont="1" applyFill="1" applyBorder="1" applyAlignment="1">
      <alignment vertical="center"/>
    </xf>
    <xf numFmtId="0" fontId="6" fillId="7" borderId="40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4" fillId="0" borderId="1" xfId="0" applyFont="1" applyBorder="1" applyAlignment="1">
      <alignment horizontal="justify" vertical="center" wrapText="1"/>
    </xf>
    <xf numFmtId="0" fontId="14" fillId="0" borderId="7" xfId="0" applyFont="1" applyBorder="1" applyAlignment="1">
      <alignment horizontal="justify" vertical="center" wrapText="1"/>
    </xf>
    <xf numFmtId="10" fontId="16" fillId="0" borderId="1" xfId="0" applyNumberFormat="1" applyFont="1" applyBorder="1" applyAlignment="1">
      <alignment horizontal="center" vertical="center"/>
    </xf>
    <xf numFmtId="10" fontId="15" fillId="0" borderId="4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4" fillId="9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vertical="center" textRotation="90" wrapText="1"/>
    </xf>
    <xf numFmtId="0" fontId="3" fillId="0" borderId="1" xfId="0" applyFont="1" applyBorder="1" applyAlignment="1">
      <alignment vertical="center"/>
    </xf>
    <xf numFmtId="0" fontId="1" fillId="8" borderId="8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right" vertical="center" textRotation="90" wrapText="1"/>
    </xf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 textRotation="90" wrapText="1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6" fillId="7" borderId="39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25" fillId="0" borderId="0" xfId="0" applyFont="1"/>
    <xf numFmtId="0" fontId="26" fillId="0" borderId="1" xfId="0" applyFont="1" applyBorder="1" applyAlignment="1">
      <alignment horizontal="justify" vertical="center" wrapText="1"/>
    </xf>
    <xf numFmtId="0" fontId="19" fillId="0" borderId="22" xfId="0" applyFont="1" applyBorder="1" applyAlignment="1"/>
    <xf numFmtId="0" fontId="19" fillId="0" borderId="28" xfId="0" applyFont="1" applyBorder="1" applyAlignment="1"/>
    <xf numFmtId="0" fontId="19" fillId="0" borderId="29" xfId="0" applyFont="1" applyBorder="1" applyAlignment="1"/>
    <xf numFmtId="0" fontId="19" fillId="0" borderId="3" xfId="0" applyFont="1" applyBorder="1" applyAlignment="1"/>
    <xf numFmtId="0" fontId="3" fillId="0" borderId="1" xfId="0" applyFont="1" applyBorder="1" applyAlignment="1"/>
    <xf numFmtId="0" fontId="3" fillId="0" borderId="3" xfId="0" applyFont="1" applyBorder="1" applyAlignment="1"/>
    <xf numFmtId="0" fontId="0" fillId="0" borderId="0" xfId="0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39" xfId="0" applyFont="1" applyBorder="1" applyAlignment="1"/>
    <xf numFmtId="0" fontId="3" fillId="0" borderId="2" xfId="0" applyFont="1" applyBorder="1" applyAlignment="1"/>
  </cellXfs>
  <cellStyles count="4">
    <cellStyle name="Hyperlink" xfId="3" xr:uid="{00000000-000B-0000-0000-000008000000}"/>
    <cellStyle name="Millares" xfId="1" builtinId="3"/>
    <cellStyle name="Normal" xfId="0" builtinId="0"/>
    <cellStyle name="Porcentaje" xfId="2" builtinId="5"/>
  </cellStyles>
  <dxfs count="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Rendimiento del SGSI</a:t>
            </a:r>
          </a:p>
        </c:rich>
      </c:tx>
      <c:layout>
        <c:manualLayout>
          <c:xMode val="edge"/>
          <c:yMode val="edge"/>
          <c:x val="0.31225369331018299"/>
          <c:y val="3.5876127728931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SGSI'!$J$8:$J$9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'Dashboard SGSI'!$K$8:$K$9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3-49A9-9FFA-82528D1C3E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065304911"/>
        <c:axId val="2065304079"/>
      </c:barChart>
      <c:catAx>
        <c:axId val="20653049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Cumplimiento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5304079"/>
        <c:crosses val="autoZero"/>
        <c:auto val="1"/>
        <c:lblAlgn val="ctr"/>
        <c:lblOffset val="100"/>
        <c:noMultiLvlLbl val="0"/>
      </c:catAx>
      <c:valAx>
        <c:axId val="206530407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Total</a:t>
                </a:r>
                <a:r>
                  <a:rPr lang="es-ES" baseline="0"/>
                  <a:t> de medición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530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RENDIMIENTO</a:t>
            </a:r>
            <a:r>
              <a:rPr lang="es-ES" baseline="0"/>
              <a:t> OSI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C8F-4800-95C9-7487E002A73F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C8F-4800-95C9-7487E002A73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OESI'!$I$2:$I$3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  <c:extLst xmlns:c15="http://schemas.microsoft.com/office/drawing/2012/chart"/>
            </c:strRef>
          </c:cat>
          <c:val>
            <c:numRef>
              <c:f>'Dashboard OESI'!$J$2:$J$3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8F-4800-95C9-7487E002A7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48600174978128"/>
          <c:y val="0.43935403907844855"/>
          <c:w val="7.9291776027996502E-2"/>
          <c:h val="0.1476808107319918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363855</xdr:colOff>
      <xdr:row>3</xdr:row>
      <xdr:rowOff>17145</xdr:rowOff>
    </xdr:from>
    <xdr:to>
      <xdr:col>7</xdr:col>
      <xdr:colOff>678180</xdr:colOff>
      <xdr:row>19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E16DEC-6570-4ABC-8E84-D90B11389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19050</xdr:rowOff>
    </xdr:from>
    <xdr:to>
      <xdr:col>6</xdr:col>
      <xdr:colOff>742950</xdr:colOff>
      <xdr:row>15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8CACA6E-AFC4-4C81-BC58-65CAEBABC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rim Salazar" id="{01A96F11-2D70-4EC8-9BE4-F0A4A6EC15BC}" userId="S::ksalazar@siempresoft.com::fea110c9-4eba-42b3-b17d-5464e0cadb4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" dT="2021-12-29T13:51:14.94" personId="{01A96F11-2D70-4EC8-9BE4-F0A4A6EC15BC}" id="{816FFA38-55DB-4AFA-943D-93E4627AA5D3}">
    <text>asignado 35000, gasto=29,918</text>
  </threadedComment>
  <threadedComment ref="I7" dT="2026-01-27T15:46:34.28" personId="{01A96F11-2D70-4EC8-9BE4-F0A4A6EC15BC}" id="{C94C6F3C-27CF-40FC-B79E-DB616EB593B5}">
    <text>Índice de Incidentes de Seguridad por Módulo y Causa (IISMC)
IISMC = Incidentes del módulo / Total de incidentes (en el mes) × 100
Tasa de recurrencia por causa = Incidentes asociados a la misma causa / Total de incidentes del mes × 100</text>
  </threadedComment>
  <threadedComment ref="J7" dT="2026-01-30T22:15:52.40" personId="{01A96F11-2D70-4EC8-9BE4-F0A4A6EC15BC}" id="{8230F225-9621-4FE4-98DA-AD4ECF36E232}">
    <text>módulo ventas/total incidentes*100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02-04T23:56:59.42" personId="{01A96F11-2D70-4EC8-9BE4-F0A4A6EC15BC}" id="{9279C91D-7A66-472F-8972-F99870BCBAA8}">
    <text>evaluar mantener o retirar (visto en informe de revision por la direccion)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3"/>
  <sheetViews>
    <sheetView topLeftCell="A6" workbookViewId="0">
      <selection activeCell="J12" sqref="J12"/>
    </sheetView>
  </sheetViews>
  <sheetFormatPr defaultColWidth="14.42578125" defaultRowHeight="15.75" customHeight="1"/>
  <cols>
    <col min="5" max="5" width="13" bestFit="1" customWidth="1"/>
    <col min="6" max="6" width="20" bestFit="1" customWidth="1"/>
  </cols>
  <sheetData>
    <row r="1" spans="1:8" ht="71.25" customHeight="1">
      <c r="A1" s="15" t="s">
        <v>0</v>
      </c>
    </row>
    <row r="4" spans="1:8" ht="15.75" customHeight="1">
      <c r="H4" s="16"/>
    </row>
    <row r="5" spans="1:8" ht="15.75" customHeight="1">
      <c r="H5" s="16"/>
    </row>
    <row r="6" spans="1:8" ht="15.75" customHeight="1">
      <c r="H6" s="17"/>
    </row>
    <row r="7" spans="1:8" ht="15.75" customHeight="1">
      <c r="H7" s="16"/>
    </row>
    <row r="8" spans="1:8" ht="15.75" customHeight="1">
      <c r="F8" s="16"/>
      <c r="G8" s="16"/>
      <c r="H8" s="16"/>
    </row>
    <row r="9" spans="1:8" ht="15.75" customHeight="1">
      <c r="F9" s="16"/>
      <c r="G9" s="16"/>
      <c r="H9" s="16"/>
    </row>
    <row r="10" spans="1:8" ht="15.75" customHeight="1">
      <c r="F10" s="16"/>
      <c r="G10" s="16"/>
      <c r="H10" s="16"/>
    </row>
    <row r="11" spans="1:8" ht="15.75" customHeight="1">
      <c r="F11" s="16"/>
      <c r="G11" s="16"/>
      <c r="H11" s="16"/>
    </row>
    <row r="12" spans="1:8" ht="15.75" customHeight="1">
      <c r="F12" s="16"/>
      <c r="G12" s="16"/>
      <c r="H12" s="16"/>
    </row>
    <row r="13" spans="1:8" ht="15.75" customHeight="1">
      <c r="F13" s="16"/>
      <c r="G13" s="16"/>
      <c r="H13" s="1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headerFooter>
    <oddHeader>&amp;R&amp;"Calibri"&amp;10&amp;K000000 Uso interno&amp;1#_x000D_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N9"/>
  <sheetViews>
    <sheetView tabSelected="1" zoomScale="90" zoomScaleNormal="90" workbookViewId="0">
      <pane ySplit="1" topLeftCell="A6" activePane="bottomLeft" state="frozen"/>
      <selection pane="bottomLeft" activeCell="B9" sqref="B9"/>
    </sheetView>
  </sheetViews>
  <sheetFormatPr defaultColWidth="14.42578125" defaultRowHeight="15.75" customHeight="1"/>
  <cols>
    <col min="1" max="1" width="7.7109375" style="18" customWidth="1"/>
    <col min="2" max="2" width="25.7109375" style="18" customWidth="1"/>
    <col min="3" max="3" width="6.42578125" style="18" customWidth="1"/>
    <col min="4" max="4" width="20.42578125" style="18" customWidth="1"/>
    <col min="5" max="5" width="30.42578125" style="18" customWidth="1"/>
    <col min="6" max="6" width="42.42578125" style="18" customWidth="1"/>
    <col min="7" max="7" width="14.28515625" style="18" customWidth="1"/>
    <col min="8" max="8" width="12" style="18" customWidth="1"/>
    <col min="9" max="9" width="10" style="18" customWidth="1"/>
    <col min="10" max="10" width="7.85546875" style="18" customWidth="1"/>
    <col min="11" max="11" width="11.5703125" style="18" customWidth="1"/>
    <col min="12" max="12" width="46.5703125" style="18" customWidth="1"/>
    <col min="13" max="16384" width="14.42578125" style="18"/>
  </cols>
  <sheetData>
    <row r="1" spans="1:14" ht="36.75" customHeight="1">
      <c r="A1" s="24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  <c r="J1" s="24" t="s">
        <v>10</v>
      </c>
      <c r="K1" s="24" t="s">
        <v>11</v>
      </c>
      <c r="L1" s="24" t="s">
        <v>12</v>
      </c>
    </row>
    <row r="2" spans="1:14" ht="59.25" customHeight="1">
      <c r="A2" s="25">
        <v>1</v>
      </c>
      <c r="B2" s="26" t="s">
        <v>13</v>
      </c>
      <c r="C2" s="27" t="s">
        <v>14</v>
      </c>
      <c r="D2" s="28" t="s">
        <v>15</v>
      </c>
      <c r="E2" s="28" t="s">
        <v>16</v>
      </c>
      <c r="F2" s="28" t="s">
        <v>17</v>
      </c>
      <c r="G2" s="25" t="s">
        <v>18</v>
      </c>
      <c r="H2" s="25" t="s">
        <v>19</v>
      </c>
      <c r="I2" s="25" t="s">
        <v>20</v>
      </c>
      <c r="J2" s="29">
        <f>'Matriz OEE vs OSI'!C22</f>
        <v>86.538461538461533</v>
      </c>
      <c r="K2" s="27" t="str">
        <f>IF(J2&lt;&gt;"",IF(J2&gt;=85,"SI","NO"),"NO")</f>
        <v>SI</v>
      </c>
      <c r="L2" s="28" t="s">
        <v>21</v>
      </c>
      <c r="N2" s="30"/>
    </row>
    <row r="3" spans="1:14" ht="55.5" customHeight="1">
      <c r="A3" s="27">
        <v>4</v>
      </c>
      <c r="B3" s="26" t="s">
        <v>22</v>
      </c>
      <c r="C3" s="27" t="s">
        <v>23</v>
      </c>
      <c r="D3" s="28" t="s">
        <v>24</v>
      </c>
      <c r="E3" s="28" t="s">
        <v>25</v>
      </c>
      <c r="F3" s="28" t="s">
        <v>26</v>
      </c>
      <c r="G3" s="27" t="s">
        <v>18</v>
      </c>
      <c r="H3" s="27" t="s">
        <v>19</v>
      </c>
      <c r="I3" s="27" t="s">
        <v>27</v>
      </c>
      <c r="J3" s="67">
        <v>0.99</v>
      </c>
      <c r="K3" s="27" t="str">
        <f>IF(J3&lt;=100,"SI","NO")</f>
        <v>SI</v>
      </c>
      <c r="L3" s="28" t="s">
        <v>28</v>
      </c>
    </row>
    <row r="4" spans="1:14" ht="54" customHeight="1">
      <c r="A4" s="25">
        <v>5</v>
      </c>
      <c r="B4" s="26" t="s">
        <v>29</v>
      </c>
      <c r="C4" s="27" t="s">
        <v>23</v>
      </c>
      <c r="D4" s="28" t="s">
        <v>24</v>
      </c>
      <c r="E4" s="28" t="s">
        <v>30</v>
      </c>
      <c r="F4" s="28" t="s">
        <v>31</v>
      </c>
      <c r="G4" s="27" t="s">
        <v>32</v>
      </c>
      <c r="H4" s="27" t="s">
        <v>19</v>
      </c>
      <c r="I4" s="27" t="s">
        <v>33</v>
      </c>
      <c r="J4" s="27">
        <v>1</v>
      </c>
      <c r="K4" s="32" t="str">
        <f>IF(J4&lt;&gt;"",IF(J4&lt;=6,"SI","NO"),"NO")</f>
        <v>SI</v>
      </c>
      <c r="L4" s="28" t="s">
        <v>34</v>
      </c>
    </row>
    <row r="5" spans="1:14" ht="48" customHeight="1">
      <c r="A5" s="25">
        <v>5</v>
      </c>
      <c r="B5" s="26" t="s">
        <v>35</v>
      </c>
      <c r="C5" s="27" t="s">
        <v>23</v>
      </c>
      <c r="D5" s="28" t="s">
        <v>24</v>
      </c>
      <c r="E5" s="28" t="s">
        <v>36</v>
      </c>
      <c r="F5" s="28" t="s">
        <v>37</v>
      </c>
      <c r="G5" s="27" t="s">
        <v>32</v>
      </c>
      <c r="H5" s="27" t="s">
        <v>19</v>
      </c>
      <c r="I5" s="27" t="s">
        <v>38</v>
      </c>
      <c r="J5" s="27">
        <v>1</v>
      </c>
      <c r="K5" s="32" t="str">
        <f>IF(J5&lt;&gt;"",IF(J5&lt;=6,"SI","NO"),"NO")</f>
        <v>SI</v>
      </c>
      <c r="L5" s="28" t="s">
        <v>34</v>
      </c>
    </row>
    <row r="6" spans="1:14" ht="68.25" customHeight="1">
      <c r="A6" s="27">
        <v>8</v>
      </c>
      <c r="B6" s="26" t="s">
        <v>39</v>
      </c>
      <c r="C6" s="27" t="s">
        <v>23</v>
      </c>
      <c r="D6" s="28" t="s">
        <v>40</v>
      </c>
      <c r="E6" s="28" t="s">
        <v>41</v>
      </c>
      <c r="F6" s="28" t="s">
        <v>42</v>
      </c>
      <c r="G6" s="27" t="s">
        <v>32</v>
      </c>
      <c r="H6" s="27" t="s">
        <v>19</v>
      </c>
      <c r="I6" s="27" t="s">
        <v>43</v>
      </c>
      <c r="J6" s="31">
        <v>19</v>
      </c>
      <c r="K6" s="27" t="str">
        <f>IF(J6&lt;&gt;"",IF(J6&gt;=14,"SI","NO"),"NO")</f>
        <v>SI</v>
      </c>
      <c r="L6" s="28" t="s">
        <v>44</v>
      </c>
    </row>
    <row r="7" spans="1:14" s="87" customFormat="1" ht="71.25" customHeight="1">
      <c r="A7" s="53">
        <v>11</v>
      </c>
      <c r="B7" s="26" t="s">
        <v>45</v>
      </c>
      <c r="C7" s="27" t="s">
        <v>23</v>
      </c>
      <c r="D7" s="153" t="s">
        <v>46</v>
      </c>
      <c r="E7" s="28" t="s">
        <v>47</v>
      </c>
      <c r="F7" s="153" t="s">
        <v>48</v>
      </c>
      <c r="G7" s="154" t="s">
        <v>32</v>
      </c>
      <c r="H7" s="154" t="s">
        <v>19</v>
      </c>
      <c r="I7" s="53" t="s">
        <v>49</v>
      </c>
      <c r="J7" s="159">
        <f>531/1800*1</f>
        <v>0.29499999999999998</v>
      </c>
      <c r="K7" s="27" t="str">
        <f>IF(J7&lt;&gt;"",IF(J7&gt;=1,"SI","NO"),"NO")</f>
        <v>NO</v>
      </c>
      <c r="L7" s="155" t="s">
        <v>50</v>
      </c>
    </row>
    <row r="8" spans="1:14" ht="15.75" customHeight="1">
      <c r="B8" s="185" t="s">
        <v>51</v>
      </c>
      <c r="J8" s="18" t="s">
        <v>52</v>
      </c>
      <c r="K8" s="18">
        <f>COUNTIF(K2:K7,"SI")</f>
        <v>5</v>
      </c>
    </row>
    <row r="9" spans="1:14" ht="15.75" customHeight="1">
      <c r="B9" s="185" t="s">
        <v>53</v>
      </c>
      <c r="J9" s="18" t="s">
        <v>54</v>
      </c>
      <c r="K9" s="18">
        <f>COUNTIF(K2:K7,"NO")</f>
        <v>1</v>
      </c>
    </row>
  </sheetData>
  <conditionalFormatting sqref="K2:K7">
    <cfRule type="containsText" dxfId="7" priority="1" operator="containsText" text="SI">
      <formula>NOT(ISERROR(SEARCH(("SI"),(K2))))</formula>
    </cfRule>
    <cfRule type="containsText" dxfId="6" priority="2" operator="containsText" text="NO">
      <formula>NOT(ISERROR(SEARCH(("NO"),(K2))))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 r:id="rId1"/>
  <headerFooter>
    <oddHeader>&amp;R&amp;"Calibri"&amp;10&amp;K000000 Uso interno&amp;1#_x000D_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>
      <selection activeCell="K14" sqref="K14"/>
    </sheetView>
  </sheetViews>
  <sheetFormatPr defaultColWidth="14.42578125" defaultRowHeight="15.75" customHeight="1"/>
  <sheetData>
    <row r="1" spans="1:1" ht="41.25" customHeight="1">
      <c r="A1" s="15" t="s">
        <v>55</v>
      </c>
    </row>
  </sheetData>
  <pageMargins left="0" right="0" top="0" bottom="0" header="0" footer="0"/>
  <headerFooter>
    <oddHeader>&amp;R&amp;"Calibri"&amp;10&amp;K000000 Uso interno&amp;1#_x000D_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K11"/>
  <sheetViews>
    <sheetView topLeftCell="A3" zoomScale="90" zoomScaleNormal="90" workbookViewId="0">
      <selection activeCell="B4" sqref="B4"/>
    </sheetView>
  </sheetViews>
  <sheetFormatPr defaultColWidth="14.42578125" defaultRowHeight="27.75" customHeight="1"/>
  <cols>
    <col min="1" max="1" width="7.7109375" style="41" customWidth="1"/>
    <col min="2" max="2" width="55.7109375" style="41" customWidth="1"/>
    <col min="3" max="3" width="52.42578125" style="41" customWidth="1"/>
    <col min="4" max="4" width="26.140625" style="41" customWidth="1"/>
    <col min="5" max="5" width="13.85546875" style="41" customWidth="1"/>
    <col min="6" max="6" width="10" style="41" customWidth="1"/>
    <col min="7" max="7" width="7.85546875" style="41" customWidth="1"/>
    <col min="8" max="8" width="11" style="41" customWidth="1"/>
    <col min="9" max="9" width="6.28515625" style="41" customWidth="1"/>
    <col min="10" max="10" width="5" style="41" customWidth="1"/>
    <col min="11" max="11" width="5.7109375" style="41" customWidth="1"/>
    <col min="12" max="16384" width="14.42578125" style="41"/>
  </cols>
  <sheetData>
    <row r="1" spans="1:11" s="88" customFormat="1" ht="22.5" customHeight="1">
      <c r="A1" s="86" t="s">
        <v>1</v>
      </c>
      <c r="B1" s="86" t="s">
        <v>2</v>
      </c>
      <c r="C1" s="86" t="s">
        <v>5</v>
      </c>
      <c r="D1" s="73" t="s">
        <v>7</v>
      </c>
      <c r="E1" s="86" t="s">
        <v>56</v>
      </c>
      <c r="F1" s="86" t="s">
        <v>9</v>
      </c>
      <c r="G1" s="86" t="s">
        <v>10</v>
      </c>
      <c r="H1" s="86" t="s">
        <v>11</v>
      </c>
      <c r="I1" s="87" t="s">
        <v>11</v>
      </c>
      <c r="J1" s="87" t="s">
        <v>57</v>
      </c>
      <c r="K1" s="87" t="s">
        <v>58</v>
      </c>
    </row>
    <row r="2" spans="1:11" ht="36" customHeight="1">
      <c r="A2" s="74">
        <v>1</v>
      </c>
      <c r="B2" s="186" t="s">
        <v>59</v>
      </c>
      <c r="C2" s="97" t="s">
        <v>60</v>
      </c>
      <c r="D2" s="75" t="s">
        <v>61</v>
      </c>
      <c r="E2" s="25" t="s">
        <v>62</v>
      </c>
      <c r="F2" s="76" t="s">
        <v>63</v>
      </c>
      <c r="G2" s="158">
        <v>6.6E-3</v>
      </c>
      <c r="H2" s="27" t="str">
        <f>IF(G2&gt;=F2,"Si","No")</f>
        <v>No</v>
      </c>
      <c r="I2" s="18" t="s">
        <v>52</v>
      </c>
      <c r="J2" s="18">
        <f>COUNTIF(H2:H10,"SI")</f>
        <v>5</v>
      </c>
      <c r="K2" s="77">
        <f>J2/J4</f>
        <v>0.55555555555555558</v>
      </c>
    </row>
    <row r="3" spans="1:11" ht="36.75" customHeight="1">
      <c r="A3" s="78">
        <v>2</v>
      </c>
      <c r="B3" s="156" t="s">
        <v>64</v>
      </c>
      <c r="C3" s="96" t="s">
        <v>65</v>
      </c>
      <c r="D3" s="75" t="s">
        <v>66</v>
      </c>
      <c r="E3" s="27" t="s">
        <v>67</v>
      </c>
      <c r="F3" s="27" t="s">
        <v>68</v>
      </c>
      <c r="G3" s="79">
        <v>7.2999999999999996E-4</v>
      </c>
      <c r="H3" s="27" t="str">
        <f>IF(G3&lt;="2","Si","No")</f>
        <v>Si</v>
      </c>
      <c r="I3" s="18" t="s">
        <v>54</v>
      </c>
      <c r="J3" s="18">
        <f>COUNTIF(H2:H10,"NO")</f>
        <v>4</v>
      </c>
      <c r="K3" s="77">
        <f>J3/J4</f>
        <v>0.44444444444444442</v>
      </c>
    </row>
    <row r="4" spans="1:11" ht="24" customHeight="1">
      <c r="A4" s="74">
        <v>3</v>
      </c>
      <c r="B4" s="156" t="s">
        <v>69</v>
      </c>
      <c r="C4" s="96" t="s">
        <v>70</v>
      </c>
      <c r="D4" s="75" t="s">
        <v>66</v>
      </c>
      <c r="E4" s="27" t="s">
        <v>67</v>
      </c>
      <c r="F4" s="27" t="s">
        <v>71</v>
      </c>
      <c r="G4" s="79">
        <v>1.1000000000000001E-3</v>
      </c>
      <c r="H4" s="27" t="str">
        <f>IF(G4&gt;=70,"Si","No")</f>
        <v>No</v>
      </c>
      <c r="I4" s="18"/>
      <c r="J4" s="18">
        <f>SUM(J2:J3)</f>
        <v>9</v>
      </c>
      <c r="K4" s="77">
        <f>SUM(K2:K3)</f>
        <v>1</v>
      </c>
    </row>
    <row r="5" spans="1:11" ht="33" customHeight="1">
      <c r="A5" s="78">
        <v>4</v>
      </c>
      <c r="B5" s="156" t="s">
        <v>72</v>
      </c>
      <c r="C5" s="96" t="s">
        <v>73</v>
      </c>
      <c r="D5" s="75" t="s">
        <v>74</v>
      </c>
      <c r="E5" s="27" t="s">
        <v>67</v>
      </c>
      <c r="F5" s="92" t="s">
        <v>75</v>
      </c>
      <c r="G5" s="76">
        <v>1</v>
      </c>
      <c r="H5" s="27" t="s">
        <v>76</v>
      </c>
      <c r="I5" s="18"/>
      <c r="J5" s="18"/>
      <c r="K5" s="18"/>
    </row>
    <row r="6" spans="1:11" ht="24" customHeight="1">
      <c r="A6" s="74">
        <v>5</v>
      </c>
      <c r="B6" s="157" t="s">
        <v>77</v>
      </c>
      <c r="C6" s="98" t="s">
        <v>78</v>
      </c>
      <c r="D6" s="75" t="s">
        <v>79</v>
      </c>
      <c r="E6" s="81" t="s">
        <v>80</v>
      </c>
      <c r="F6" s="81" t="s">
        <v>81</v>
      </c>
      <c r="G6" s="82">
        <v>0.89</v>
      </c>
      <c r="H6" s="81" t="s">
        <v>76</v>
      </c>
      <c r="I6" s="18"/>
      <c r="J6" s="18"/>
      <c r="K6" s="18"/>
    </row>
    <row r="7" spans="1:11" ht="24" customHeight="1">
      <c r="A7" s="78">
        <v>6</v>
      </c>
      <c r="B7" s="156" t="s">
        <v>82</v>
      </c>
      <c r="C7" s="96" t="s">
        <v>83</v>
      </c>
      <c r="D7" s="75" t="s">
        <v>79</v>
      </c>
      <c r="E7" s="27" t="s">
        <v>80</v>
      </c>
      <c r="F7" s="83" t="s">
        <v>84</v>
      </c>
      <c r="G7" s="76">
        <v>0.73</v>
      </c>
      <c r="H7" s="27" t="str">
        <f>IF(G7&gt;=75%, "Si","No")</f>
        <v>No</v>
      </c>
      <c r="I7" s="18"/>
      <c r="J7" s="18"/>
      <c r="K7" s="18"/>
    </row>
    <row r="8" spans="1:11" ht="24.75" customHeight="1">
      <c r="A8" s="84">
        <v>7</v>
      </c>
      <c r="B8" s="157" t="s">
        <v>85</v>
      </c>
      <c r="C8" s="98" t="s">
        <v>86</v>
      </c>
      <c r="D8" s="75" t="s">
        <v>66</v>
      </c>
      <c r="E8" s="81" t="s">
        <v>67</v>
      </c>
      <c r="F8" s="85" t="s">
        <v>87</v>
      </c>
      <c r="G8" s="81">
        <v>2.13</v>
      </c>
      <c r="H8" s="27" t="str">
        <f>IF(G8&lt;86.4,"Si","No")</f>
        <v>Si</v>
      </c>
      <c r="I8" s="18"/>
      <c r="J8" s="18"/>
      <c r="K8" s="18"/>
    </row>
    <row r="9" spans="1:11" ht="33.75" customHeight="1">
      <c r="A9" s="89">
        <v>8</v>
      </c>
      <c r="B9" s="157" t="s">
        <v>88</v>
      </c>
      <c r="C9" s="98" t="s">
        <v>89</v>
      </c>
      <c r="D9" s="80" t="s">
        <v>90</v>
      </c>
      <c r="E9" s="81" t="s">
        <v>67</v>
      </c>
      <c r="F9" s="90" t="s">
        <v>91</v>
      </c>
      <c r="G9" s="91">
        <v>2.13</v>
      </c>
      <c r="H9" s="27" t="str">
        <f>IF(G9&lt;2.59,"Si","No")</f>
        <v>Si</v>
      </c>
      <c r="I9" s="18"/>
      <c r="J9" s="18"/>
      <c r="K9" s="18"/>
    </row>
    <row r="10" spans="1:11" ht="23.25" customHeight="1">
      <c r="A10" s="74">
        <v>9</v>
      </c>
      <c r="B10" s="156" t="s">
        <v>92</v>
      </c>
      <c r="C10" s="99" t="s">
        <v>93</v>
      </c>
      <c r="D10" s="75" t="s">
        <v>94</v>
      </c>
      <c r="E10" s="27" t="s">
        <v>80</v>
      </c>
      <c r="F10" s="93" t="s">
        <v>95</v>
      </c>
      <c r="G10" s="53">
        <v>0</v>
      </c>
      <c r="H10" s="27" t="str">
        <f>IF(G10&gt;=1,"Si","No")</f>
        <v>No</v>
      </c>
      <c r="I10" s="18"/>
      <c r="J10" s="18"/>
      <c r="K10" s="18"/>
    </row>
    <row r="11" spans="1:11" ht="27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</sheetData>
  <conditionalFormatting sqref="H2:H10">
    <cfRule type="containsText" dxfId="5" priority="1" operator="containsText" text="SI">
      <formula>NOT(ISERROR(SEARCH(("SI"),(H2))))</formula>
    </cfRule>
    <cfRule type="containsText" dxfId="4" priority="2" operator="containsText" text="NO">
      <formula>NOT(ISERROR(SEARCH(("NO"),(H2))))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 r:id="rId1"/>
  <headerFooter>
    <oddHeader>&amp;R&amp;"Calibri"&amp;10&amp;K000000 Uso interno&amp;1#_x000D_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2"/>
  <sheetViews>
    <sheetView topLeftCell="A3" zoomScale="80" zoomScaleNormal="80" workbookViewId="0">
      <selection activeCell="I7" sqref="I7"/>
    </sheetView>
  </sheetViews>
  <sheetFormatPr defaultColWidth="14.42578125" defaultRowHeight="15.75" customHeight="1"/>
  <cols>
    <col min="1" max="1" width="4" style="115" customWidth="1"/>
    <col min="2" max="2" width="38.140625" style="18" customWidth="1"/>
    <col min="3" max="3" width="21.5703125" style="18" customWidth="1"/>
    <col min="4" max="5" width="24" style="18" customWidth="1"/>
    <col min="6" max="6" width="22.28515625" style="18" customWidth="1"/>
    <col min="7" max="7" width="20.85546875" style="18" customWidth="1"/>
    <col min="8" max="8" width="21.7109375" style="18" customWidth="1"/>
    <col min="9" max="9" width="22.28515625" style="18" customWidth="1"/>
    <col min="10" max="10" width="14.42578125" style="18"/>
    <col min="11" max="11" width="17.5703125" style="18" customWidth="1"/>
    <col min="12" max="16384" width="14.42578125" style="18"/>
  </cols>
  <sheetData>
    <row r="1" spans="1:11" ht="15" customHeight="1" thickBot="1">
      <c r="A1" s="116" t="s">
        <v>96</v>
      </c>
    </row>
    <row r="2" spans="1:11" ht="15" customHeight="1">
      <c r="A2" s="160" t="s">
        <v>97</v>
      </c>
      <c r="B2" s="187"/>
      <c r="C2" s="100" t="s">
        <v>98</v>
      </c>
      <c r="D2" s="101" t="s">
        <v>99</v>
      </c>
      <c r="E2" s="101" t="s">
        <v>100</v>
      </c>
      <c r="F2" s="101" t="s">
        <v>101</v>
      </c>
      <c r="G2" s="102" t="s">
        <v>102</v>
      </c>
      <c r="H2" s="103" t="s">
        <v>103</v>
      </c>
      <c r="I2" s="104" t="s">
        <v>104</v>
      </c>
      <c r="J2" s="105" t="s">
        <v>105</v>
      </c>
      <c r="K2" s="106" t="s">
        <v>106</v>
      </c>
    </row>
    <row r="3" spans="1:11" ht="99" customHeight="1" thickBot="1">
      <c r="A3" s="188"/>
      <c r="B3" s="189"/>
      <c r="C3" s="107" t="str">
        <f>'Dashboard OESI'!B2</f>
        <v>Disminuir la cantidad de incidentes en un 30% en el servicio Siempresoft ERP en los próximos 12 meses. </v>
      </c>
      <c r="D3" s="108" t="str">
        <f>'Dashboard OESI'!B3</f>
        <v>Permanecer en el Registro de Proveedor de Servicios Electrónicos (PSE) con porcentaje de constancias de recepción rechazadas menor al 2% en un año por cliente.</v>
      </c>
      <c r="E3" s="108" t="str">
        <f>'Dashboard OESI'!B4</f>
        <v>Migrar más del 70% de clientes a la nueva arquitectura de Plataforma como Servicio en los próximos 12 meses.</v>
      </c>
      <c r="F3" s="109" t="str">
        <f>'Dashboard OESI'!B5</f>
        <v>Permanecer en el Registro de Operadores de Servicios Electrónicos cumpliendo con el Listado de Requisitos y Obligaciones del OSE.</v>
      </c>
      <c r="G3" s="108" t="str">
        <f>'Dashboard OESI'!B6</f>
        <v>Mejorar la puntuación de seguridad en los servicios de la nube, debe ser mayor al 75%. </v>
      </c>
      <c r="H3" s="110" t="str">
        <f>'Dashboard OESI'!B7</f>
        <v>Mejorar la puntuación de seguridad de los dispositivos endpoint, debe ser mayor al 75%. </v>
      </c>
      <c r="I3" s="111" t="str">
        <f>'Dashboard OESI'!B8</f>
        <v>Obtener un SLA de 99% de nuestros servicios en la nube (ERP). </v>
      </c>
      <c r="J3" s="112" t="str">
        <f>'Dashboard OESI'!B9</f>
        <v>Mantener una disponibilidad del servicio ose en un 99.97%. </v>
      </c>
      <c r="K3" s="113" t="str">
        <f>'Dashboard OESI'!B10</f>
        <v>Implementar DevOps en los procesos de desarrollo y despliegue en un nivel de madurez adecuado para la empresa.</v>
      </c>
    </row>
    <row r="4" spans="1:11" ht="35.25" customHeight="1">
      <c r="A4" s="117" t="s">
        <v>107</v>
      </c>
      <c r="B4" s="118" t="s">
        <v>108</v>
      </c>
      <c r="C4" s="119" t="s">
        <v>14</v>
      </c>
      <c r="D4" s="119" t="s">
        <v>109</v>
      </c>
      <c r="E4" s="119"/>
      <c r="F4" s="119"/>
      <c r="G4" s="119"/>
      <c r="H4" s="119"/>
      <c r="I4" s="120" t="s">
        <v>109</v>
      </c>
      <c r="J4" s="121" t="s">
        <v>109</v>
      </c>
      <c r="K4" s="130"/>
    </row>
    <row r="5" spans="1:11" ht="36.75" customHeight="1">
      <c r="A5" s="122" t="s">
        <v>110</v>
      </c>
      <c r="B5" s="114" t="s">
        <v>111</v>
      </c>
      <c r="C5" s="42" t="s">
        <v>109</v>
      </c>
      <c r="D5" s="42"/>
      <c r="E5" s="42" t="s">
        <v>109</v>
      </c>
      <c r="F5" s="42"/>
      <c r="G5" s="42"/>
      <c r="H5" s="42"/>
      <c r="I5" s="44" t="s">
        <v>109</v>
      </c>
      <c r="J5" s="45" t="s">
        <v>109</v>
      </c>
      <c r="K5" s="123" t="s">
        <v>109</v>
      </c>
    </row>
    <row r="6" spans="1:11" ht="37.5" customHeight="1">
      <c r="A6" s="122" t="s">
        <v>112</v>
      </c>
      <c r="B6" s="114" t="s">
        <v>113</v>
      </c>
      <c r="C6" s="42"/>
      <c r="D6" s="42"/>
      <c r="E6" s="42"/>
      <c r="F6" s="42"/>
      <c r="G6" s="42"/>
      <c r="H6" s="42"/>
      <c r="I6" s="44" t="s">
        <v>109</v>
      </c>
      <c r="J6" s="45"/>
      <c r="K6" s="123"/>
    </row>
    <row r="7" spans="1:11" ht="49.5" customHeight="1">
      <c r="A7" s="122" t="s">
        <v>114</v>
      </c>
      <c r="B7" s="114" t="s">
        <v>115</v>
      </c>
      <c r="C7" s="42"/>
      <c r="D7" s="42"/>
      <c r="E7" s="42"/>
      <c r="F7" s="42"/>
      <c r="G7" s="42"/>
      <c r="H7" s="42"/>
      <c r="I7" s="44" t="s">
        <v>109</v>
      </c>
      <c r="J7" s="45"/>
      <c r="K7" s="123"/>
    </row>
    <row r="8" spans="1:11" ht="34.5" customHeight="1">
      <c r="A8" s="122" t="s">
        <v>116</v>
      </c>
      <c r="B8" s="114" t="s">
        <v>117</v>
      </c>
      <c r="C8" s="42" t="s">
        <v>109</v>
      </c>
      <c r="D8" s="42"/>
      <c r="E8" s="42" t="s">
        <v>109</v>
      </c>
      <c r="F8" s="42"/>
      <c r="G8" s="42" t="s">
        <v>109</v>
      </c>
      <c r="H8" s="42" t="s">
        <v>109</v>
      </c>
      <c r="I8" s="44" t="s">
        <v>109</v>
      </c>
      <c r="J8" s="45" t="s">
        <v>109</v>
      </c>
      <c r="K8" s="123" t="s">
        <v>109</v>
      </c>
    </row>
    <row r="9" spans="1:11" ht="36" customHeight="1">
      <c r="A9" s="122" t="s">
        <v>118</v>
      </c>
      <c r="B9" s="114" t="s">
        <v>119</v>
      </c>
      <c r="C9" s="42" t="s">
        <v>109</v>
      </c>
      <c r="D9" s="42" t="s">
        <v>109</v>
      </c>
      <c r="E9" s="42" t="s">
        <v>109</v>
      </c>
      <c r="F9" s="42" t="s">
        <v>109</v>
      </c>
      <c r="G9" s="42"/>
      <c r="H9" s="42"/>
      <c r="I9" s="44"/>
      <c r="J9" s="45" t="s">
        <v>109</v>
      </c>
      <c r="K9" s="123" t="s">
        <v>109</v>
      </c>
    </row>
    <row r="10" spans="1:11" ht="38.25" customHeight="1">
      <c r="A10" s="122" t="s">
        <v>120</v>
      </c>
      <c r="B10" s="114" t="s">
        <v>121</v>
      </c>
      <c r="C10" s="42" t="s">
        <v>109</v>
      </c>
      <c r="D10" s="42" t="s">
        <v>109</v>
      </c>
      <c r="E10" s="42" t="s">
        <v>109</v>
      </c>
      <c r="F10" s="42" t="s">
        <v>109</v>
      </c>
      <c r="G10" s="43"/>
      <c r="H10" s="43"/>
      <c r="I10" s="95" t="s">
        <v>109</v>
      </c>
      <c r="J10" s="45"/>
      <c r="K10" s="123" t="s">
        <v>14</v>
      </c>
    </row>
    <row r="11" spans="1:11" ht="36.75" customHeight="1" thickBot="1">
      <c r="A11" s="124" t="s">
        <v>122</v>
      </c>
      <c r="B11" s="125" t="s">
        <v>123</v>
      </c>
      <c r="C11" s="126" t="s">
        <v>109</v>
      </c>
      <c r="D11" s="126" t="s">
        <v>109</v>
      </c>
      <c r="E11" s="127" t="s">
        <v>109</v>
      </c>
      <c r="F11" s="127" t="s">
        <v>109</v>
      </c>
      <c r="G11" s="128"/>
      <c r="H11" s="128"/>
      <c r="I11" s="129" t="s">
        <v>14</v>
      </c>
      <c r="J11" s="128" t="s">
        <v>14</v>
      </c>
      <c r="K11" s="131" t="s">
        <v>109</v>
      </c>
    </row>
    <row r="13" spans="1:11" ht="12">
      <c r="B13" s="19" t="s">
        <v>124</v>
      </c>
      <c r="C13" s="60" t="s">
        <v>125</v>
      </c>
      <c r="D13" s="60" t="s">
        <v>126</v>
      </c>
      <c r="I13" s="19" t="s">
        <v>127</v>
      </c>
      <c r="J13" s="19" t="s">
        <v>128</v>
      </c>
      <c r="K13" s="19" t="s">
        <v>129</v>
      </c>
    </row>
    <row r="14" spans="1:11" ht="28.5" customHeight="1">
      <c r="B14" s="52" t="s">
        <v>130</v>
      </c>
      <c r="C14" s="25">
        <v>3</v>
      </c>
      <c r="D14" s="53">
        <f>COUNTIF(C4:K11,"P")</f>
        <v>4</v>
      </c>
      <c r="E14" s="94"/>
      <c r="I14" s="28" t="s">
        <v>131</v>
      </c>
      <c r="J14" s="25">
        <f>(9*C14)+(25*C15)</f>
        <v>52</v>
      </c>
      <c r="K14" s="25">
        <f>(C14*D14)+(C15*D15)</f>
        <v>45</v>
      </c>
    </row>
    <row r="15" spans="1:11" ht="26.25" customHeight="1">
      <c r="B15" s="52" t="s">
        <v>132</v>
      </c>
      <c r="C15" s="25">
        <v>1</v>
      </c>
      <c r="D15" s="53">
        <f>COUNTIF(C4:K11,"S")</f>
        <v>33</v>
      </c>
      <c r="E15" s="94"/>
    </row>
    <row r="17" spans="2:11" ht="12">
      <c r="B17" s="21" t="s">
        <v>133</v>
      </c>
      <c r="C17" s="132">
        <f>(COUNTIF(C4:C11,"S")*$C$15)+(COUNTIF(C4:C11,"P")*$C$14)</f>
        <v>8</v>
      </c>
      <c r="D17" s="132">
        <f>(COUNTIF(D4:D11,"S")*$C$15)+(COUNTIF(D4:D11,"P")*$C$14)</f>
        <v>4</v>
      </c>
      <c r="E17" s="132">
        <f>(COUNTIF(E4:E11,"S")*$C$15)+(COUNTIF(E4:E11,"P")*$C$14)</f>
        <v>5</v>
      </c>
      <c r="F17" s="132">
        <f>(COUNTIF(F4:F11,"S")*$C$15)+(COUNTIF(F4:F11,"P")*$C$14)</f>
        <v>3</v>
      </c>
      <c r="G17" s="132">
        <f>(COUNTIF(G4:G11,"S")*$C$15)+(COUNTIF(G4:G11,"P")*$C$14)</f>
        <v>1</v>
      </c>
      <c r="H17" s="132">
        <f>(COUNTIF(H4:H11,"S")*$C$15)+(COUNTIF(H4:H11,"P")*$C$14)</f>
        <v>1</v>
      </c>
      <c r="I17" s="132">
        <f>(COUNTIF(I4:I11,"S")*$C$15)+(COUNTIF(I4:I11,"P")*$C$14)</f>
        <v>9</v>
      </c>
      <c r="J17" s="132">
        <f>(COUNTIF(J4:J11,"S")*$C$15)+(COUNTIF(J4:J11,"P")*$C$14)</f>
        <v>7</v>
      </c>
      <c r="K17" s="132">
        <f>(COUNTIF(K4:K11,"S")*$C$15)+(COUNTIF(K4:K11,"P")*$C$14)</f>
        <v>7</v>
      </c>
    </row>
    <row r="19" spans="2:11" ht="12">
      <c r="B19" s="161" t="s">
        <v>134</v>
      </c>
      <c r="C19" s="190"/>
    </row>
    <row r="20" spans="2:11" ht="12">
      <c r="B20" s="22" t="s">
        <v>135</v>
      </c>
      <c r="C20" s="20">
        <f>J14</f>
        <v>52</v>
      </c>
    </row>
    <row r="21" spans="2:11" ht="12">
      <c r="B21" s="22" t="s">
        <v>129</v>
      </c>
      <c r="C21" s="20">
        <f>SUM(C17:K17)</f>
        <v>45</v>
      </c>
    </row>
    <row r="22" spans="2:11" ht="12">
      <c r="B22" s="22" t="s">
        <v>136</v>
      </c>
      <c r="C22" s="23">
        <f>C21*100/C20</f>
        <v>86.538461538461533</v>
      </c>
    </row>
  </sheetData>
  <mergeCells count="2">
    <mergeCell ref="A2:B3"/>
    <mergeCell ref="B19:C19"/>
  </mergeCells>
  <phoneticPr fontId="13" type="noConversion"/>
  <pageMargins left="0" right="0" top="0" bottom="0" header="0" footer="0"/>
  <pageSetup paperSize="9" orientation="portrait" r:id="rId1"/>
  <headerFooter>
    <oddHeader>&amp;R&amp;"Calibri"&amp;10&amp;K000000 Uso interno&amp;1#_x000D_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32"/>
  <sheetViews>
    <sheetView topLeftCell="A17" zoomScale="73" zoomScaleNormal="73" workbookViewId="0">
      <selection activeCell="C32" sqref="C32"/>
    </sheetView>
  </sheetViews>
  <sheetFormatPr defaultColWidth="14.42578125" defaultRowHeight="33" customHeight="1"/>
  <cols>
    <col min="1" max="1" width="9.28515625" customWidth="1"/>
    <col min="2" max="2" width="57.42578125" customWidth="1"/>
    <col min="3" max="3" width="21.42578125" customWidth="1"/>
    <col min="4" max="4" width="27.28515625" customWidth="1"/>
    <col min="5" max="5" width="22.5703125" customWidth="1"/>
    <col min="6" max="6" width="22.140625" customWidth="1"/>
    <col min="7" max="7" width="19.42578125" customWidth="1"/>
    <col min="8" max="8" width="20.42578125" customWidth="1"/>
    <col min="9" max="9" width="17.28515625" customWidth="1"/>
    <col min="10" max="10" width="16.7109375" customWidth="1"/>
    <col min="11" max="11" width="19" customWidth="1"/>
  </cols>
  <sheetData>
    <row r="1" spans="1:11" ht="16.5" customHeight="1">
      <c r="A1" s="1" t="s">
        <v>137</v>
      </c>
    </row>
    <row r="2" spans="1:11" ht="15.75" customHeight="1">
      <c r="A2" s="167" t="s">
        <v>138</v>
      </c>
      <c r="B2" s="191"/>
      <c r="C2" s="55" t="s">
        <v>98</v>
      </c>
      <c r="D2" s="55" t="s">
        <v>99</v>
      </c>
      <c r="E2" s="55" t="s">
        <v>100</v>
      </c>
      <c r="F2" s="55" t="s">
        <v>101</v>
      </c>
      <c r="G2" s="55" t="s">
        <v>102</v>
      </c>
      <c r="H2" s="55" t="s">
        <v>103</v>
      </c>
      <c r="I2" s="55" t="s">
        <v>104</v>
      </c>
      <c r="J2" s="55" t="s">
        <v>105</v>
      </c>
      <c r="K2" s="55" t="s">
        <v>106</v>
      </c>
    </row>
    <row r="3" spans="1:11" ht="75.75" customHeight="1">
      <c r="A3" s="191"/>
      <c r="B3" s="191"/>
      <c r="C3" s="58" t="str">
        <f>'Dashboard OESI'!B2</f>
        <v>Disminuir la cantidad de incidentes en un 30% en el servicio Siempresoft ERP en los próximos 12 meses. </v>
      </c>
      <c r="D3" s="58" t="str">
        <f>'Dashboard OESI'!B3</f>
        <v>Permanecer en el Registro de Proveedor de Servicios Electrónicos (PSE) con porcentaje de constancias de recepción rechazadas menor al 2% en un año por cliente.</v>
      </c>
      <c r="E3" s="58" t="str">
        <f>'Dashboard OESI'!B4</f>
        <v>Migrar más del 70% de clientes a la nueva arquitectura de Plataforma como Servicio en los próximos 12 meses.</v>
      </c>
      <c r="F3" s="59" t="str">
        <f>'Dashboard OESI'!B5</f>
        <v>Permanecer en el Registro de Operadores de Servicios Electrónicos cumpliendo con el Listado de Requisitos y Obligaciones del OSE.</v>
      </c>
      <c r="G3" s="58" t="str">
        <f>'Dashboard OESI'!B6</f>
        <v>Mejorar la puntuación de seguridad en los servicios de la nube, debe ser mayor al 75%. </v>
      </c>
      <c r="H3" s="58" t="str">
        <f>'Dashboard OESI'!B7</f>
        <v>Mejorar la puntuación de seguridad de los dispositivos endpoint, debe ser mayor al 75%. </v>
      </c>
      <c r="I3" s="58" t="str">
        <f>'Dashboard OESI'!B8</f>
        <v>Obtener un SLA de 99% de nuestros servicios en la nube (ERP). </v>
      </c>
      <c r="J3" s="58" t="str">
        <f>'Dashboard OESI'!B9</f>
        <v>Mantener una disponibilidad del servicio ose en un 99.97%. </v>
      </c>
      <c r="K3" s="143" t="str">
        <f>'Dashboard OESI'!B10</f>
        <v>Implementar DevOps en los procesos de desarrollo y despliegue en un nivel de madurez adecuado para la empresa.</v>
      </c>
    </row>
    <row r="4" spans="1:11" ht="36.75" customHeight="1">
      <c r="A4" s="163" t="s">
        <v>139</v>
      </c>
      <c r="B4" s="57" t="s">
        <v>140</v>
      </c>
      <c r="C4" s="46" t="s">
        <v>14</v>
      </c>
      <c r="D4" s="46" t="s">
        <v>109</v>
      </c>
      <c r="E4" s="46" t="s">
        <v>109</v>
      </c>
      <c r="F4" s="46" t="s">
        <v>109</v>
      </c>
      <c r="G4" s="46" t="s">
        <v>109</v>
      </c>
      <c r="H4" s="46"/>
      <c r="I4" s="46" t="s">
        <v>14</v>
      </c>
      <c r="J4" s="139" t="s">
        <v>109</v>
      </c>
      <c r="K4" s="138" t="s">
        <v>109</v>
      </c>
    </row>
    <row r="5" spans="1:11" ht="28.5" customHeight="1">
      <c r="A5" s="164"/>
      <c r="B5" s="56" t="s">
        <v>141</v>
      </c>
      <c r="C5" s="46" t="s">
        <v>109</v>
      </c>
      <c r="D5" s="46" t="s">
        <v>109</v>
      </c>
      <c r="E5" s="46" t="s">
        <v>109</v>
      </c>
      <c r="F5" s="46"/>
      <c r="G5" s="46" t="s">
        <v>109</v>
      </c>
      <c r="H5" s="46"/>
      <c r="I5" s="46" t="s">
        <v>109</v>
      </c>
      <c r="J5" s="139" t="s">
        <v>109</v>
      </c>
      <c r="K5" s="138" t="s">
        <v>109</v>
      </c>
    </row>
    <row r="6" spans="1:11" ht="51" customHeight="1">
      <c r="A6" s="54" t="s">
        <v>142</v>
      </c>
      <c r="B6" s="56" t="s">
        <v>143</v>
      </c>
      <c r="C6" s="46" t="s">
        <v>109</v>
      </c>
      <c r="D6" s="46" t="s">
        <v>109</v>
      </c>
      <c r="E6" s="46" t="s">
        <v>109</v>
      </c>
      <c r="F6" s="46" t="s">
        <v>109</v>
      </c>
      <c r="G6" s="46" t="s">
        <v>109</v>
      </c>
      <c r="H6" s="46" t="s">
        <v>109</v>
      </c>
      <c r="I6" s="46"/>
      <c r="J6" s="139"/>
      <c r="K6" s="138" t="s">
        <v>109</v>
      </c>
    </row>
    <row r="7" spans="1:11" ht="54" customHeight="1">
      <c r="A7" s="163" t="s">
        <v>144</v>
      </c>
      <c r="B7" s="56" t="s">
        <v>145</v>
      </c>
      <c r="C7" s="46"/>
      <c r="D7" s="46" t="s">
        <v>109</v>
      </c>
      <c r="E7" s="46" t="s">
        <v>109</v>
      </c>
      <c r="F7" s="46" t="s">
        <v>109</v>
      </c>
      <c r="G7" s="46"/>
      <c r="H7" s="46"/>
      <c r="I7" s="46" t="s">
        <v>109</v>
      </c>
      <c r="J7" s="139" t="s">
        <v>14</v>
      </c>
      <c r="K7" s="138" t="s">
        <v>109</v>
      </c>
    </row>
    <row r="8" spans="1:11" ht="17.45" customHeight="1">
      <c r="A8" s="164"/>
      <c r="B8" s="56" t="s">
        <v>146</v>
      </c>
      <c r="C8" s="46"/>
      <c r="D8" s="46" t="s">
        <v>14</v>
      </c>
      <c r="E8" s="46"/>
      <c r="F8" s="46" t="s">
        <v>14</v>
      </c>
      <c r="G8" s="46"/>
      <c r="H8" s="46"/>
      <c r="I8" s="46"/>
      <c r="J8" s="139"/>
      <c r="K8" s="138"/>
    </row>
    <row r="9" spans="1:11" ht="40.5" customHeight="1">
      <c r="A9" s="163" t="s">
        <v>147</v>
      </c>
      <c r="B9" s="56" t="s">
        <v>148</v>
      </c>
      <c r="C9" s="46" t="s">
        <v>109</v>
      </c>
      <c r="D9" s="46" t="s">
        <v>109</v>
      </c>
      <c r="E9" s="46"/>
      <c r="F9" s="46" t="s">
        <v>109</v>
      </c>
      <c r="G9" s="46" t="s">
        <v>109</v>
      </c>
      <c r="H9" s="46" t="s">
        <v>109</v>
      </c>
      <c r="I9" s="46" t="s">
        <v>109</v>
      </c>
      <c r="J9" s="139" t="s">
        <v>109</v>
      </c>
      <c r="K9" s="138"/>
    </row>
    <row r="10" spans="1:11" ht="39.75" customHeight="1">
      <c r="A10" s="164"/>
      <c r="B10" s="56" t="s">
        <v>149</v>
      </c>
      <c r="C10" s="46"/>
      <c r="D10" s="46" t="s">
        <v>109</v>
      </c>
      <c r="E10" s="46"/>
      <c r="F10" s="46" t="s">
        <v>109</v>
      </c>
      <c r="G10" s="46"/>
      <c r="H10" s="46"/>
      <c r="I10" s="46"/>
      <c r="J10" s="139"/>
      <c r="K10" s="138" t="s">
        <v>109</v>
      </c>
    </row>
    <row r="11" spans="1:11" ht="39" customHeight="1">
      <c r="A11" s="168" t="s">
        <v>150</v>
      </c>
      <c r="B11" s="56" t="s">
        <v>151</v>
      </c>
      <c r="C11" s="46"/>
      <c r="D11" s="46"/>
      <c r="E11" s="46"/>
      <c r="F11" s="46"/>
      <c r="G11" s="46" t="s">
        <v>109</v>
      </c>
      <c r="H11" s="46" t="s">
        <v>109</v>
      </c>
      <c r="I11" s="46"/>
      <c r="J11" s="139"/>
      <c r="K11" s="138"/>
    </row>
    <row r="12" spans="1:11" ht="25.5" customHeight="1">
      <c r="A12" s="169"/>
      <c r="B12" s="56" t="s">
        <v>152</v>
      </c>
      <c r="C12" s="46" t="s">
        <v>109</v>
      </c>
      <c r="D12" s="46" t="s">
        <v>109</v>
      </c>
      <c r="E12" s="46"/>
      <c r="F12" s="46" t="s">
        <v>109</v>
      </c>
      <c r="G12" s="46"/>
      <c r="H12" s="46"/>
      <c r="I12" s="46"/>
      <c r="J12" s="139"/>
      <c r="K12" s="138" t="s">
        <v>109</v>
      </c>
    </row>
    <row r="13" spans="1:11" ht="38.25" customHeight="1">
      <c r="A13" s="169"/>
      <c r="B13" s="56" t="s">
        <v>153</v>
      </c>
      <c r="C13" s="46"/>
      <c r="D13" s="46"/>
      <c r="E13" s="46"/>
      <c r="F13" s="46"/>
      <c r="G13" s="46"/>
      <c r="H13" s="46"/>
      <c r="I13" s="46" t="s">
        <v>109</v>
      </c>
      <c r="J13" s="139" t="s">
        <v>109</v>
      </c>
      <c r="K13" s="138"/>
    </row>
    <row r="14" spans="1:11" ht="33" customHeight="1">
      <c r="A14" s="54" t="s">
        <v>154</v>
      </c>
      <c r="B14" s="56" t="s">
        <v>155</v>
      </c>
      <c r="C14" s="46"/>
      <c r="D14" s="46" t="s">
        <v>109</v>
      </c>
      <c r="E14" s="46"/>
      <c r="F14" s="46" t="s">
        <v>109</v>
      </c>
      <c r="G14" s="46" t="s">
        <v>109</v>
      </c>
      <c r="H14" s="46" t="s">
        <v>109</v>
      </c>
      <c r="I14" s="46"/>
      <c r="J14" s="139"/>
      <c r="K14" s="138"/>
    </row>
    <row r="15" spans="1:11" ht="37.5" customHeight="1">
      <c r="A15" s="54" t="s">
        <v>156</v>
      </c>
      <c r="B15" s="56" t="s">
        <v>157</v>
      </c>
      <c r="C15" s="46"/>
      <c r="D15" s="46" t="s">
        <v>109</v>
      </c>
      <c r="E15" s="46" t="s">
        <v>109</v>
      </c>
      <c r="F15" s="46" t="s">
        <v>109</v>
      </c>
      <c r="G15" s="46" t="s">
        <v>109</v>
      </c>
      <c r="H15" s="46" t="s">
        <v>109</v>
      </c>
      <c r="I15" s="46" t="s">
        <v>109</v>
      </c>
      <c r="J15" s="139" t="s">
        <v>109</v>
      </c>
      <c r="K15" s="138" t="s">
        <v>109</v>
      </c>
    </row>
    <row r="16" spans="1:11" ht="26.25" customHeight="1">
      <c r="A16" s="54" t="s">
        <v>158</v>
      </c>
      <c r="B16" s="56" t="s">
        <v>159</v>
      </c>
      <c r="C16" s="47"/>
      <c r="D16" s="47"/>
      <c r="E16" s="46" t="s">
        <v>109</v>
      </c>
      <c r="F16" s="47"/>
      <c r="G16" s="46" t="s">
        <v>14</v>
      </c>
      <c r="H16" s="46" t="s">
        <v>14</v>
      </c>
      <c r="I16" s="47"/>
      <c r="J16" s="140"/>
      <c r="K16" s="138" t="s">
        <v>109</v>
      </c>
    </row>
    <row r="17" spans="1:11" ht="28.5" customHeight="1">
      <c r="A17" s="54" t="s">
        <v>160</v>
      </c>
      <c r="B17" s="56" t="s">
        <v>161</v>
      </c>
      <c r="C17" s="46"/>
      <c r="D17" s="46" t="s">
        <v>109</v>
      </c>
      <c r="E17" s="46"/>
      <c r="F17" s="46" t="s">
        <v>109</v>
      </c>
      <c r="G17" s="46"/>
      <c r="H17" s="46"/>
      <c r="I17" s="46"/>
      <c r="J17" s="139"/>
      <c r="K17" s="138"/>
    </row>
    <row r="18" spans="1:11" ht="33" customHeight="1">
      <c r="A18" s="54" t="s">
        <v>162</v>
      </c>
      <c r="B18" s="56" t="s">
        <v>163</v>
      </c>
      <c r="C18" s="46"/>
      <c r="D18" s="46" t="s">
        <v>109</v>
      </c>
      <c r="E18" s="46"/>
      <c r="F18" s="46" t="s">
        <v>109</v>
      </c>
      <c r="G18" s="46"/>
      <c r="H18" s="46"/>
      <c r="I18" s="46"/>
      <c r="J18" s="139"/>
      <c r="K18" s="138"/>
    </row>
    <row r="19" spans="1:11" ht="33" customHeight="1">
      <c r="A19" s="133" t="s">
        <v>164</v>
      </c>
      <c r="B19" s="134" t="s">
        <v>165</v>
      </c>
      <c r="C19" s="135"/>
      <c r="D19" s="135" t="s">
        <v>109</v>
      </c>
      <c r="E19" s="135" t="s">
        <v>109</v>
      </c>
      <c r="F19" s="135" t="s">
        <v>109</v>
      </c>
      <c r="G19" s="135"/>
      <c r="H19" s="135"/>
      <c r="I19" s="135" t="s">
        <v>109</v>
      </c>
      <c r="J19" s="141" t="s">
        <v>109</v>
      </c>
      <c r="K19" s="138"/>
    </row>
    <row r="20" spans="1:11" s="63" customFormat="1" ht="33" customHeight="1">
      <c r="A20" s="136" t="s">
        <v>166</v>
      </c>
      <c r="B20" s="137" t="s">
        <v>167</v>
      </c>
      <c r="C20" s="138"/>
      <c r="D20" s="138" t="s">
        <v>109</v>
      </c>
      <c r="E20" s="138" t="s">
        <v>109</v>
      </c>
      <c r="F20" s="138" t="s">
        <v>109</v>
      </c>
      <c r="G20" s="138"/>
      <c r="H20" s="138"/>
      <c r="I20" s="138"/>
      <c r="J20" s="142"/>
      <c r="K20" s="138"/>
    </row>
    <row r="21" spans="1:11" s="63" customFormat="1" ht="27.75" customHeight="1">
      <c r="A21" s="136" t="s">
        <v>168</v>
      </c>
      <c r="B21" s="137" t="s">
        <v>169</v>
      </c>
      <c r="C21" s="138"/>
      <c r="D21" s="138" t="s">
        <v>109</v>
      </c>
      <c r="E21" s="138"/>
      <c r="F21" s="138" t="s">
        <v>109</v>
      </c>
      <c r="G21" s="138"/>
      <c r="H21" s="138"/>
      <c r="I21" s="138"/>
      <c r="J21" s="142"/>
      <c r="K21" s="138"/>
    </row>
    <row r="22" spans="1:11" ht="11.25" customHeight="1"/>
    <row r="23" spans="1:11" ht="17.25" customHeight="1">
      <c r="B23" s="2" t="s">
        <v>124</v>
      </c>
      <c r="C23" s="61" t="s">
        <v>125</v>
      </c>
      <c r="D23" s="62" t="s">
        <v>126</v>
      </c>
      <c r="H23" s="165" t="s">
        <v>127</v>
      </c>
      <c r="I23" s="165"/>
      <c r="J23" s="64" t="s">
        <v>128</v>
      </c>
      <c r="K23" s="64" t="s">
        <v>129</v>
      </c>
    </row>
    <row r="24" spans="1:11" ht="27.75" customHeight="1">
      <c r="B24" s="3" t="s">
        <v>170</v>
      </c>
      <c r="C24" s="49">
        <v>3</v>
      </c>
      <c r="D24" s="53">
        <f>COUNTIF(C4:K21,"P")</f>
        <v>7</v>
      </c>
      <c r="E24" s="94"/>
      <c r="H24" s="166" t="s">
        <v>131</v>
      </c>
      <c r="I24" s="166"/>
      <c r="J24" s="65">
        <f>(9*C24)+(80*C25)</f>
        <v>107</v>
      </c>
      <c r="K24" s="66">
        <f>(D24*C24)+(D25*C25)</f>
        <v>92</v>
      </c>
    </row>
    <row r="25" spans="1:11" ht="27" customHeight="1">
      <c r="B25" s="3" t="s">
        <v>132</v>
      </c>
      <c r="C25" s="49">
        <v>1</v>
      </c>
      <c r="D25" s="53">
        <f>COUNTIF(C4:K21,"S")</f>
        <v>71</v>
      </c>
      <c r="E25" s="94"/>
    </row>
    <row r="26" spans="1:11" ht="15.75" customHeight="1"/>
    <row r="27" spans="1:11" ht="18" customHeight="1">
      <c r="B27" s="5" t="s">
        <v>133</v>
      </c>
      <c r="C27" s="4">
        <f>(COUNTIF(C4:C21,"S")*$C$25)+(COUNTIF(C4:C20,"P")*$C$24)</f>
        <v>7</v>
      </c>
      <c r="D27" s="4">
        <f>(COUNTIF(D4:D21,"S")*$C$25)+(COUNTIF(D4:D20,"P")*$C$24)</f>
        <v>17</v>
      </c>
      <c r="E27" s="4">
        <f>(COUNTIF(E4:E21,"S")*$C$25)+(COUNTIF(E4:E20,"P")*$C$24)</f>
        <v>8</v>
      </c>
      <c r="F27" s="4">
        <f>(COUNTIF(F4:F21,"S")*$C$25)+(COUNTIF(F4:F20,"P")*$C$24)</f>
        <v>16</v>
      </c>
      <c r="G27" s="4">
        <f>(COUNTIF(G4:G21,"S")*$C$25)+(COUNTIF(G4:G20,"P")*$C$24)</f>
        <v>10</v>
      </c>
      <c r="H27" s="4">
        <f>(COUNTIF(H4:H21,"S")*$C$25)+(COUNTIF(H4:H20,"P")*$C$24)</f>
        <v>8</v>
      </c>
      <c r="I27" s="4">
        <f>(COUNTIF(I4:I21,"S")*$C$25)+(COUNTIF(I4:I20,"P")*$C$24)</f>
        <v>9</v>
      </c>
      <c r="J27" s="4">
        <f>(COUNTIF(J4:J21,"S")*$C$25)+(COUNTIF(J4:J20,"P")*$C$24)</f>
        <v>9</v>
      </c>
      <c r="K27" s="4">
        <f>(COUNTIF(K4:K21,"S")*$C$25)+(COUNTIF(K4:K20,"P")*$C$24)</f>
        <v>8</v>
      </c>
    </row>
    <row r="29" spans="1:11" ht="33" customHeight="1">
      <c r="B29" s="162" t="s">
        <v>134</v>
      </c>
      <c r="C29" s="192"/>
    </row>
    <row r="30" spans="1:11" ht="18" customHeight="1">
      <c r="B30" s="6" t="s">
        <v>135</v>
      </c>
      <c r="C30" s="4">
        <f>J24</f>
        <v>107</v>
      </c>
    </row>
    <row r="31" spans="1:11" ht="18" customHeight="1">
      <c r="B31" s="6" t="s">
        <v>129</v>
      </c>
      <c r="C31" s="4">
        <f>SUM(C27:K27)</f>
        <v>92</v>
      </c>
    </row>
    <row r="32" spans="1:11" ht="15.75" customHeight="1">
      <c r="B32" s="6" t="s">
        <v>136</v>
      </c>
      <c r="C32" s="7">
        <f>C31*100/C30</f>
        <v>85.981308411214954</v>
      </c>
    </row>
  </sheetData>
  <mergeCells count="8">
    <mergeCell ref="B29:C29"/>
    <mergeCell ref="A9:A10"/>
    <mergeCell ref="H23:I23"/>
    <mergeCell ref="H24:I24"/>
    <mergeCell ref="A2:B3"/>
    <mergeCell ref="A4:A5"/>
    <mergeCell ref="A7:A8"/>
    <mergeCell ref="A11:A13"/>
  </mergeCells>
  <phoneticPr fontId="13" type="noConversion"/>
  <conditionalFormatting sqref="C27:K27">
    <cfRule type="expression" dxfId="3" priority="21">
      <formula>C27&lt;=1</formula>
    </cfRule>
    <cfRule type="expression" dxfId="2" priority="22">
      <formula>C27=5</formula>
    </cfRule>
    <cfRule type="expression" dxfId="1" priority="23">
      <formula>C27&lt;$K$24</formula>
    </cfRule>
    <cfRule type="expression" dxfId="0" priority="24">
      <formula>C27&gt;=$K$24</formula>
    </cfRule>
  </conditionalFormatting>
  <pageMargins left="0" right="0" top="0" bottom="0" header="0" footer="0"/>
  <pageSetup paperSize="9" orientation="portrait" r:id="rId1"/>
  <headerFooter>
    <oddHeader>&amp;R&amp;"Calibri"&amp;10&amp;K000000 Uso interno&amp;1#_x000D_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47"/>
  <sheetViews>
    <sheetView workbookViewId="0">
      <selection activeCell="C21" sqref="C21"/>
    </sheetView>
  </sheetViews>
  <sheetFormatPr defaultColWidth="14.42578125" defaultRowHeight="15.75" customHeight="1"/>
  <cols>
    <col min="1" max="1" width="85.7109375" customWidth="1"/>
    <col min="2" max="2" width="13.7109375" style="48" customWidth="1"/>
  </cols>
  <sheetData>
    <row r="1" spans="1:2" ht="12.75">
      <c r="A1" s="170" t="s">
        <v>171</v>
      </c>
      <c r="B1" s="193"/>
    </row>
    <row r="2" spans="1:2" ht="12.75">
      <c r="A2" s="144" t="s">
        <v>172</v>
      </c>
      <c r="B2" s="145" t="s">
        <v>173</v>
      </c>
    </row>
    <row r="3" spans="1:2" ht="12.75">
      <c r="A3" s="171" t="s">
        <v>174</v>
      </c>
      <c r="B3" s="194"/>
    </row>
    <row r="4" spans="1:2" ht="12.75">
      <c r="A4" s="146" t="s">
        <v>175</v>
      </c>
      <c r="B4" s="147">
        <v>4</v>
      </c>
    </row>
    <row r="5" spans="1:2" ht="12.75">
      <c r="A5" s="146" t="s">
        <v>176</v>
      </c>
      <c r="B5" s="147">
        <v>4</v>
      </c>
    </row>
    <row r="6" spans="1:2" ht="12.75">
      <c r="A6" s="146" t="s">
        <v>177</v>
      </c>
      <c r="B6" s="147">
        <v>4</v>
      </c>
    </row>
    <row r="7" spans="1:2" ht="12.75">
      <c r="A7" s="146" t="s">
        <v>178</v>
      </c>
      <c r="B7" s="147">
        <v>4</v>
      </c>
    </row>
    <row r="8" spans="1:2" ht="12.75">
      <c r="A8" s="146" t="s">
        <v>179</v>
      </c>
      <c r="B8" s="147">
        <v>3</v>
      </c>
    </row>
    <row r="9" spans="1:2" ht="12.75">
      <c r="A9" s="146" t="s">
        <v>180</v>
      </c>
      <c r="B9" s="147">
        <v>4</v>
      </c>
    </row>
    <row r="10" spans="1:2" ht="12.75">
      <c r="A10" s="146" t="s">
        <v>181</v>
      </c>
      <c r="B10" s="147">
        <v>4</v>
      </c>
    </row>
    <row r="11" spans="1:2" ht="12.75">
      <c r="A11" s="146" t="s">
        <v>182</v>
      </c>
      <c r="B11" s="147">
        <v>4</v>
      </c>
    </row>
    <row r="12" spans="1:2" ht="12.75">
      <c r="A12" s="146" t="s">
        <v>183</v>
      </c>
      <c r="B12" s="147">
        <v>4</v>
      </c>
    </row>
    <row r="13" spans="1:2" ht="12.75">
      <c r="A13" s="146" t="s">
        <v>184</v>
      </c>
      <c r="B13" s="147">
        <v>3</v>
      </c>
    </row>
    <row r="14" spans="1:2" ht="12.75">
      <c r="A14" s="146" t="s">
        <v>185</v>
      </c>
      <c r="B14" s="147">
        <v>4</v>
      </c>
    </row>
    <row r="15" spans="1:2" ht="12.75">
      <c r="A15" s="146" t="s">
        <v>186</v>
      </c>
      <c r="B15" s="147">
        <v>3</v>
      </c>
    </row>
    <row r="16" spans="1:2" ht="12.75">
      <c r="A16" s="146" t="s">
        <v>187</v>
      </c>
      <c r="B16" s="147">
        <v>4</v>
      </c>
    </row>
    <row r="17" spans="1:2" ht="12.75">
      <c r="A17" s="146" t="s">
        <v>188</v>
      </c>
      <c r="B17" s="147">
        <v>4</v>
      </c>
    </row>
    <row r="18" spans="1:2" ht="12.75">
      <c r="A18" s="34" t="s">
        <v>189</v>
      </c>
      <c r="B18" s="50">
        <f>AVERAGE(B4:B17)</f>
        <v>3.7857142857142856</v>
      </c>
    </row>
    <row r="19" spans="1:2" ht="12.75">
      <c r="A19" s="170" t="s">
        <v>190</v>
      </c>
      <c r="B19" s="193"/>
    </row>
    <row r="20" spans="1:2" ht="12.75">
      <c r="A20" s="146" t="s">
        <v>191</v>
      </c>
      <c r="B20" s="147">
        <v>1</v>
      </c>
    </row>
    <row r="21" spans="1:2" ht="12.75">
      <c r="A21" s="146" t="s">
        <v>192</v>
      </c>
      <c r="B21" s="147">
        <v>1</v>
      </c>
    </row>
    <row r="22" spans="1:2" ht="12.75">
      <c r="A22" s="146" t="s">
        <v>193</v>
      </c>
      <c r="B22" s="147">
        <v>1</v>
      </c>
    </row>
    <row r="23" spans="1:2" ht="12.75">
      <c r="A23" s="34" t="s">
        <v>194</v>
      </c>
      <c r="B23" s="50">
        <f>AVERAGE(B20:B22)</f>
        <v>1</v>
      </c>
    </row>
    <row r="24" spans="1:2" ht="12.75">
      <c r="A24" s="33" t="s">
        <v>195</v>
      </c>
      <c r="B24" s="51">
        <f>B18+B23</f>
        <v>4.7857142857142856</v>
      </c>
    </row>
    <row r="26" spans="1:2" ht="20.25" customHeight="1">
      <c r="A26" s="9" t="s">
        <v>196</v>
      </c>
    </row>
    <row r="27" spans="1:2" ht="34.5" customHeight="1">
      <c r="A27" s="10" t="s">
        <v>197</v>
      </c>
    </row>
    <row r="28" spans="1:2" ht="30.75" customHeight="1">
      <c r="A28" s="10" t="s">
        <v>198</v>
      </c>
    </row>
    <row r="39" spans="1:1" ht="15.75" customHeight="1">
      <c r="A39" s="39" t="s">
        <v>199</v>
      </c>
    </row>
    <row r="40" spans="1:1" ht="15.75" customHeight="1">
      <c r="A40" t="s">
        <v>200</v>
      </c>
    </row>
    <row r="41" spans="1:1" ht="15.75" customHeight="1">
      <c r="A41" t="s">
        <v>201</v>
      </c>
    </row>
    <row r="42" spans="1:1" ht="15.75" customHeight="1">
      <c r="A42" t="s">
        <v>202</v>
      </c>
    </row>
    <row r="43" spans="1:1" ht="15.75" customHeight="1">
      <c r="A43" t="s">
        <v>203</v>
      </c>
    </row>
    <row r="44" spans="1:1" ht="15.75" customHeight="1">
      <c r="A44" t="s">
        <v>204</v>
      </c>
    </row>
    <row r="45" spans="1:1" ht="15.75" customHeight="1">
      <c r="A45" t="s">
        <v>205</v>
      </c>
    </row>
    <row r="46" spans="1:1" ht="15.75" customHeight="1">
      <c r="A46" s="38" t="s">
        <v>206</v>
      </c>
    </row>
    <row r="47" spans="1:1" ht="15.75" customHeight="1">
      <c r="A47" t="s">
        <v>207</v>
      </c>
    </row>
  </sheetData>
  <mergeCells count="3">
    <mergeCell ref="A1:B1"/>
    <mergeCell ref="A3:B3"/>
    <mergeCell ref="A19:B19"/>
  </mergeCells>
  <pageMargins left="0" right="0" top="0" bottom="0" header="0" footer="0"/>
  <pageSetup paperSize="9" orientation="portrait" r:id="rId1"/>
  <headerFooter>
    <oddHeader>&amp;R&amp;"Calibri"&amp;10&amp;K000000 Uso interno&amp;1#_x000D_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5"/>
  <sheetViews>
    <sheetView topLeftCell="B17" workbookViewId="0">
      <selection activeCell="B17" sqref="B17"/>
    </sheetView>
  </sheetViews>
  <sheetFormatPr defaultColWidth="14.42578125" defaultRowHeight="15.75" customHeight="1"/>
  <cols>
    <col min="1" max="1" width="86.42578125" customWidth="1"/>
    <col min="2" max="2" width="13.7109375" customWidth="1"/>
  </cols>
  <sheetData>
    <row r="1" spans="1:3" ht="12.75">
      <c r="A1" s="170" t="s">
        <v>208</v>
      </c>
      <c r="B1" s="193"/>
    </row>
    <row r="2" spans="1:3" ht="12.75">
      <c r="A2" s="144" t="s">
        <v>172</v>
      </c>
      <c r="B2" s="144" t="s">
        <v>173</v>
      </c>
    </row>
    <row r="3" spans="1:3" ht="12.75">
      <c r="A3" s="171" t="s">
        <v>209</v>
      </c>
      <c r="B3" s="194"/>
    </row>
    <row r="4" spans="1:3" ht="12.75">
      <c r="A4" s="146" t="s">
        <v>210</v>
      </c>
      <c r="B4" s="148">
        <v>4</v>
      </c>
    </row>
    <row r="5" spans="1:3" ht="12.75">
      <c r="A5" s="146" t="s">
        <v>211</v>
      </c>
      <c r="B5" s="148">
        <v>3</v>
      </c>
    </row>
    <row r="6" spans="1:3" ht="12.75">
      <c r="A6" s="146" t="s">
        <v>212</v>
      </c>
      <c r="B6" s="148">
        <v>2</v>
      </c>
    </row>
    <row r="7" spans="1:3" ht="12.75">
      <c r="A7" s="146" t="s">
        <v>213</v>
      </c>
      <c r="B7" s="148">
        <v>3</v>
      </c>
    </row>
    <row r="8" spans="1:3" ht="12.75">
      <c r="A8" s="146" t="s">
        <v>214</v>
      </c>
      <c r="B8" s="148">
        <v>4</v>
      </c>
    </row>
    <row r="9" spans="1:3" ht="12.75">
      <c r="A9" s="146" t="s">
        <v>215</v>
      </c>
      <c r="B9" s="148">
        <v>3</v>
      </c>
    </row>
    <row r="10" spans="1:3" ht="12.75">
      <c r="A10" s="34" t="s">
        <v>216</v>
      </c>
      <c r="B10" s="40">
        <f>AVERAGE(B4:B9)</f>
        <v>3.1666666666666665</v>
      </c>
    </row>
    <row r="11" spans="1:3" ht="12.75">
      <c r="A11" s="170" t="s">
        <v>217</v>
      </c>
      <c r="B11" s="193"/>
    </row>
    <row r="12" spans="1:3" ht="12.75">
      <c r="A12" s="47" t="s">
        <v>218</v>
      </c>
      <c r="B12" s="8">
        <v>2</v>
      </c>
      <c r="C12" s="63" t="s">
        <v>219</v>
      </c>
    </row>
    <row r="13" spans="1:3" ht="12.75">
      <c r="A13" s="47" t="s">
        <v>220</v>
      </c>
      <c r="B13" s="8">
        <v>2</v>
      </c>
    </row>
    <row r="14" spans="1:3" ht="12.75">
      <c r="A14" s="47" t="s">
        <v>221</v>
      </c>
      <c r="B14" s="8">
        <v>4</v>
      </c>
    </row>
    <row r="15" spans="1:3" ht="12.75">
      <c r="A15" s="47" t="s">
        <v>222</v>
      </c>
      <c r="B15" s="8">
        <v>4</v>
      </c>
    </row>
    <row r="16" spans="1:3" ht="12.75">
      <c r="A16" s="34" t="s">
        <v>223</v>
      </c>
      <c r="B16" s="40">
        <f>AVERAGE(B12:B15)</f>
        <v>3</v>
      </c>
    </row>
    <row r="17" spans="1:2" ht="12.75">
      <c r="A17" s="5" t="s">
        <v>195</v>
      </c>
      <c r="B17" s="35">
        <f>SUM(B10+B16)</f>
        <v>6.1666666666666661</v>
      </c>
    </row>
    <row r="19" spans="1:2" ht="30" customHeight="1">
      <c r="A19" s="10" t="s">
        <v>224</v>
      </c>
    </row>
    <row r="20" spans="1:2" ht="36" customHeight="1">
      <c r="A20" s="10" t="s">
        <v>225</v>
      </c>
    </row>
    <row r="21" spans="1:2" ht="27.75" customHeight="1">
      <c r="A21" s="10" t="s">
        <v>226</v>
      </c>
    </row>
    <row r="32" spans="1:2" ht="15.75" customHeight="1">
      <c r="A32" s="39" t="s">
        <v>199</v>
      </c>
    </row>
    <row r="33" spans="1:1" ht="15.75" customHeight="1">
      <c r="A33" t="s">
        <v>227</v>
      </c>
    </row>
    <row r="34" spans="1:1" ht="15.75" customHeight="1">
      <c r="A34" t="s">
        <v>228</v>
      </c>
    </row>
    <row r="35" spans="1:1" ht="15.75" customHeight="1">
      <c r="A35" s="38" t="s">
        <v>229</v>
      </c>
    </row>
  </sheetData>
  <mergeCells count="3">
    <mergeCell ref="A1:B1"/>
    <mergeCell ref="A3:B3"/>
    <mergeCell ref="A11:B11"/>
  </mergeCells>
  <pageMargins left="0" right="0" top="0" bottom="0" header="0" footer="0"/>
  <headerFooter>
    <oddHeader>&amp;R&amp;"Calibri"&amp;10&amp;K000000 Uso interno&amp;1#_x000D_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N21"/>
  <sheetViews>
    <sheetView workbookViewId="0">
      <selection activeCell="E5" sqref="E5"/>
    </sheetView>
  </sheetViews>
  <sheetFormatPr defaultColWidth="6.7109375" defaultRowHeight="15.75" customHeight="1"/>
  <cols>
    <col min="1" max="1" width="9.140625" customWidth="1"/>
  </cols>
  <sheetData>
    <row r="1" spans="1:14" ht="15.75" customHeight="1">
      <c r="A1" s="174" t="s">
        <v>230</v>
      </c>
      <c r="B1" s="174"/>
      <c r="C1" s="174"/>
      <c r="D1" s="174"/>
      <c r="E1" s="174"/>
      <c r="F1" s="174"/>
      <c r="G1" s="174"/>
      <c r="H1" s="193"/>
      <c r="I1" s="193"/>
      <c r="J1" s="193"/>
      <c r="K1" s="193"/>
      <c r="L1" s="193"/>
      <c r="M1" s="193"/>
      <c r="N1" s="193"/>
    </row>
    <row r="2" spans="1:14" ht="15.75" customHeight="1">
      <c r="N2" s="9"/>
    </row>
    <row r="3" spans="1:14" ht="15.75" customHeight="1">
      <c r="B3" s="170" t="s">
        <v>231</v>
      </c>
      <c r="C3" s="170"/>
      <c r="D3" s="170"/>
      <c r="E3" s="170"/>
      <c r="F3" s="170"/>
      <c r="G3" s="170"/>
      <c r="H3" s="182"/>
      <c r="I3" s="182"/>
      <c r="J3" s="182"/>
      <c r="K3" s="182"/>
      <c r="L3" s="182"/>
      <c r="M3" s="182"/>
    </row>
    <row r="4" spans="1:14" ht="15.75" customHeight="1">
      <c r="A4" s="172" t="s">
        <v>232</v>
      </c>
      <c r="B4" s="180"/>
      <c r="C4" s="194"/>
      <c r="D4" s="69"/>
      <c r="E4" s="70"/>
      <c r="F4" s="180"/>
      <c r="G4" s="194"/>
      <c r="H4" s="181"/>
      <c r="I4" s="191"/>
      <c r="J4" s="175"/>
      <c r="K4" s="175"/>
      <c r="L4" s="173"/>
      <c r="M4" s="191"/>
    </row>
    <row r="5" spans="1:14" ht="15.75" customHeight="1">
      <c r="A5" s="172"/>
      <c r="B5" s="194"/>
      <c r="C5" s="194"/>
      <c r="D5" s="71"/>
      <c r="E5" s="72"/>
      <c r="F5" s="194"/>
      <c r="G5" s="194"/>
      <c r="H5" s="192"/>
      <c r="I5" s="191"/>
      <c r="J5" s="175"/>
      <c r="K5" s="175"/>
      <c r="L5" s="191"/>
      <c r="M5" s="191"/>
      <c r="N5" s="37">
        <v>6</v>
      </c>
    </row>
    <row r="6" spans="1:14" ht="15.75" customHeight="1">
      <c r="A6" s="172"/>
      <c r="B6" s="180"/>
      <c r="C6" s="194"/>
      <c r="D6" s="68"/>
      <c r="E6" s="68"/>
      <c r="F6" s="180"/>
      <c r="G6" s="180"/>
      <c r="H6" s="181"/>
      <c r="I6" s="191"/>
      <c r="J6" s="175"/>
      <c r="K6" s="175"/>
      <c r="L6" s="173"/>
      <c r="M6" s="191"/>
      <c r="N6" s="9"/>
    </row>
    <row r="7" spans="1:14" ht="15.75" customHeight="1">
      <c r="A7" s="172"/>
      <c r="B7" s="195"/>
      <c r="C7" s="195"/>
      <c r="D7" s="68"/>
      <c r="E7" s="68"/>
      <c r="F7" s="180"/>
      <c r="G7" s="180"/>
      <c r="H7" s="192"/>
      <c r="I7" s="191"/>
      <c r="J7" s="175"/>
      <c r="K7" s="175"/>
      <c r="L7" s="191"/>
      <c r="M7" s="191"/>
      <c r="N7" s="9" t="s">
        <v>233</v>
      </c>
    </row>
    <row r="8" spans="1:14" ht="15.75" customHeight="1">
      <c r="A8" s="172"/>
      <c r="B8" s="149"/>
      <c r="C8" s="152" t="s">
        <v>234</v>
      </c>
      <c r="D8" s="183"/>
      <c r="E8" s="194"/>
      <c r="F8" s="176"/>
      <c r="G8" s="177"/>
      <c r="H8" s="175"/>
      <c r="I8" s="175"/>
      <c r="J8" s="173"/>
      <c r="K8" s="191"/>
      <c r="L8" s="173"/>
      <c r="M8" s="191"/>
      <c r="N8" s="9"/>
    </row>
    <row r="9" spans="1:14" ht="15.75" customHeight="1">
      <c r="A9" s="172"/>
      <c r="B9" s="150"/>
      <c r="C9" s="151"/>
      <c r="D9" s="196"/>
      <c r="E9" s="194"/>
      <c r="F9" s="178"/>
      <c r="G9" s="179"/>
      <c r="H9" s="175"/>
      <c r="I9" s="175"/>
      <c r="J9" s="191"/>
      <c r="K9" s="191"/>
      <c r="L9" s="191"/>
      <c r="M9" s="191"/>
      <c r="N9" s="9" t="s">
        <v>235</v>
      </c>
    </row>
    <row r="10" spans="1:14" ht="15.75" customHeight="1">
      <c r="A10" s="172"/>
      <c r="B10" s="184"/>
      <c r="C10" s="197"/>
      <c r="D10" s="184"/>
      <c r="E10" s="197"/>
      <c r="F10" s="175"/>
      <c r="G10" s="175"/>
      <c r="H10" s="175"/>
      <c r="I10" s="175"/>
      <c r="J10" s="173"/>
      <c r="K10" s="191"/>
      <c r="L10" s="173"/>
      <c r="M10" s="191"/>
    </row>
    <row r="11" spans="1:14" ht="15.75" customHeight="1">
      <c r="A11" s="172"/>
      <c r="B11" s="191"/>
      <c r="C11" s="191"/>
      <c r="D11" s="191"/>
      <c r="E11" s="191"/>
      <c r="F11" s="175"/>
      <c r="G11" s="175"/>
      <c r="H11" s="175"/>
      <c r="I11" s="175"/>
      <c r="J11" s="191"/>
      <c r="K11" s="191"/>
      <c r="L11" s="191"/>
      <c r="M11" s="191"/>
      <c r="N11" s="9" t="s">
        <v>236</v>
      </c>
    </row>
    <row r="12" spans="1:14" ht="15.75" customHeight="1">
      <c r="A12" s="172"/>
      <c r="B12" s="175"/>
      <c r="C12" s="175"/>
      <c r="D12" s="175"/>
      <c r="E12" s="175"/>
      <c r="F12" s="173"/>
      <c r="G12" s="191"/>
      <c r="H12" s="173"/>
      <c r="I12" s="191"/>
      <c r="J12" s="173"/>
      <c r="K12" s="191"/>
      <c r="L12" s="173"/>
      <c r="M12" s="191"/>
    </row>
    <row r="13" spans="1:14" ht="15.75" customHeight="1">
      <c r="A13" s="172"/>
      <c r="B13" s="175"/>
      <c r="C13" s="175"/>
      <c r="D13" s="175"/>
      <c r="E13" s="175"/>
      <c r="F13" s="191"/>
      <c r="G13" s="191"/>
      <c r="H13" s="191"/>
      <c r="I13" s="191"/>
      <c r="J13" s="191"/>
      <c r="K13" s="191"/>
      <c r="L13" s="191"/>
      <c r="M13" s="191"/>
      <c r="N13" s="9" t="s">
        <v>237</v>
      </c>
    </row>
    <row r="14" spans="1:14" ht="15.75" customHeight="1">
      <c r="A14" s="172"/>
      <c r="B14" s="173"/>
      <c r="C14" s="191"/>
      <c r="D14" s="173"/>
      <c r="E14" s="191"/>
      <c r="F14" s="173"/>
      <c r="G14" s="191"/>
      <c r="H14" s="173"/>
      <c r="I14" s="191"/>
      <c r="J14" s="173"/>
      <c r="K14" s="191"/>
      <c r="L14" s="173"/>
      <c r="M14" s="191"/>
    </row>
    <row r="15" spans="1:14" ht="15.75" customHeight="1">
      <c r="A15" s="172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9" t="s">
        <v>238</v>
      </c>
    </row>
    <row r="16" spans="1:14" ht="15.75" customHeight="1">
      <c r="C16" s="36">
        <v>6</v>
      </c>
      <c r="D16" s="11"/>
      <c r="E16" s="36">
        <v>5</v>
      </c>
      <c r="F16" s="11"/>
      <c r="G16" s="11" t="s">
        <v>235</v>
      </c>
      <c r="H16" s="11"/>
      <c r="I16" s="11" t="s">
        <v>236</v>
      </c>
      <c r="J16" s="11"/>
      <c r="K16" s="11" t="s">
        <v>237</v>
      </c>
      <c r="L16" s="11"/>
      <c r="M16" s="11" t="s">
        <v>238</v>
      </c>
    </row>
    <row r="18" spans="2:3" ht="15.75" customHeight="1">
      <c r="B18" s="9" t="s">
        <v>124</v>
      </c>
    </row>
    <row r="19" spans="2:3" ht="15.75" customHeight="1">
      <c r="B19" s="12"/>
      <c r="C19" s="9" t="s">
        <v>239</v>
      </c>
    </row>
    <row r="20" spans="2:3" ht="15.75" customHeight="1">
      <c r="B20" s="13"/>
      <c r="C20" s="9" t="s">
        <v>240</v>
      </c>
    </row>
    <row r="21" spans="2:3" ht="15.75" customHeight="1">
      <c r="B21" s="14"/>
      <c r="C21" s="9" t="s">
        <v>241</v>
      </c>
    </row>
  </sheetData>
  <mergeCells count="36">
    <mergeCell ref="L14:M15"/>
    <mergeCell ref="F12:G13"/>
    <mergeCell ref="B3:M3"/>
    <mergeCell ref="H12:I13"/>
    <mergeCell ref="D8:E9"/>
    <mergeCell ref="D10:E11"/>
    <mergeCell ref="D12:E13"/>
    <mergeCell ref="F4:G5"/>
    <mergeCell ref="B4:C5"/>
    <mergeCell ref="B6:C7"/>
    <mergeCell ref="B10:C11"/>
    <mergeCell ref="B12:C13"/>
    <mergeCell ref="L12:M13"/>
    <mergeCell ref="J14:K15"/>
    <mergeCell ref="B14:C15"/>
    <mergeCell ref="A1:N1"/>
    <mergeCell ref="H10:I11"/>
    <mergeCell ref="J10:K11"/>
    <mergeCell ref="L10:M11"/>
    <mergeCell ref="H8:I9"/>
    <mergeCell ref="J8:K9"/>
    <mergeCell ref="L8:M9"/>
    <mergeCell ref="F10:G11"/>
    <mergeCell ref="F8:G9"/>
    <mergeCell ref="L6:M7"/>
    <mergeCell ref="L4:M5"/>
    <mergeCell ref="J4:K5"/>
    <mergeCell ref="F6:G7"/>
    <mergeCell ref="J6:K7"/>
    <mergeCell ref="H4:I5"/>
    <mergeCell ref="H6:I7"/>
    <mergeCell ref="A4:A15"/>
    <mergeCell ref="F14:G15"/>
    <mergeCell ref="J12:K13"/>
    <mergeCell ref="D14:E15"/>
    <mergeCell ref="H14:I15"/>
  </mergeCells>
  <pageMargins left="0" right="0" top="0" bottom="0" header="0" footer="0"/>
  <headerFooter>
    <oddHeader>&amp;R&amp;"Calibri"&amp;10&amp;K000000 Uso interno&amp;1#_x000D_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06D1D0DB20AE4086165774818BCFB1" ma:contentTypeVersion="22" ma:contentTypeDescription="Create a new document." ma:contentTypeScope="" ma:versionID="6d0ede7805e3ca9f76d2843aa97ee39e">
  <xsd:schema xmlns:xsd="http://www.w3.org/2001/XMLSchema" xmlns:xs="http://www.w3.org/2001/XMLSchema" xmlns:p="http://schemas.microsoft.com/office/2006/metadata/properties" xmlns:ns1="http://schemas.microsoft.com/sharepoint/v3" xmlns:ns2="426fde4c-a37f-4f90-9216-257ba536ffaa" xmlns:ns3="a7cd4e98-72e6-4520-9342-38fdeec5714b" targetNamespace="http://schemas.microsoft.com/office/2006/metadata/properties" ma:root="true" ma:fieldsID="79f4f5f3f76e23e62f544d350131ae84" ns1:_="" ns2:_="" ns3:_="">
    <xsd:import namespace="http://schemas.microsoft.com/sharepoint/v3"/>
    <xsd:import namespace="426fde4c-a37f-4f90-9216-257ba536ffaa"/>
    <xsd:import namespace="a7cd4e98-72e6-4520-9342-38fdeec571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fde4c-a37f-4f90-9216-257ba536ff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e40906e-40c4-4c63-a149-397f9afb1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d4e98-72e6-4520-9342-38fdeec571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7cd4e98-72e6-4520-9342-38fdeec5714b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lcf76f155ced4ddcb4097134ff3c332f xmlns="426fde4c-a37f-4f90-9216-257ba536ff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7E65B2-29D0-40BB-9B35-DBDBDE0AD79F}"/>
</file>

<file path=customXml/itemProps2.xml><?xml version="1.0" encoding="utf-8"?>
<ds:datastoreItem xmlns:ds="http://schemas.openxmlformats.org/officeDocument/2006/customXml" ds:itemID="{3AA44896-54A2-4DD3-BAEF-AEC9354AC896}"/>
</file>

<file path=customXml/itemProps3.xml><?xml version="1.0" encoding="utf-8"?>
<ds:datastoreItem xmlns:ds="http://schemas.openxmlformats.org/officeDocument/2006/customXml" ds:itemID="{AF20CA56-EF34-45F3-83D3-37657929F6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Karim Salazar</cp:lastModifiedBy>
  <cp:revision/>
  <dcterms:created xsi:type="dcterms:W3CDTF">2020-04-21T14:00:58Z</dcterms:created>
  <dcterms:modified xsi:type="dcterms:W3CDTF">2026-02-05T00:50:40Z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0x0101000506D1D0DB20AE4086165774818BCFB1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SIP_Label_a45174eb-66eb-49cb-b8cb-2ea983f95f24_Enabled">
    <vt:lpwstr>true</vt:lpwstr>
  </property>
  <property fmtid="{D5CDD505-2E9C-101B-9397-08002B2CF9AE}" pid="7" name="MSIP_Label_a45174eb-66eb-49cb-b8cb-2ea983f95f24_SetDate">
    <vt:lpwstr>2023-06-16T14:06:50Z</vt:lpwstr>
  </property>
  <property fmtid="{D5CDD505-2E9C-101B-9397-08002B2CF9AE}" pid="8" name="MSIP_Label_a45174eb-66eb-49cb-b8cb-2ea983f95f24_Method">
    <vt:lpwstr>Standard</vt:lpwstr>
  </property>
  <property fmtid="{D5CDD505-2E9C-101B-9397-08002B2CF9AE}" pid="9" name="MSIP_Label_a45174eb-66eb-49cb-b8cb-2ea983f95f24_Name">
    <vt:lpwstr>Interna</vt:lpwstr>
  </property>
  <property fmtid="{D5CDD505-2E9C-101B-9397-08002B2CF9AE}" pid="10" name="MSIP_Label_a45174eb-66eb-49cb-b8cb-2ea983f95f24_SiteId">
    <vt:lpwstr>12398458-05e7-471b-8555-7993154f0864</vt:lpwstr>
  </property>
  <property fmtid="{D5CDD505-2E9C-101B-9397-08002B2CF9AE}" pid="11" name="MSIP_Label_a45174eb-66eb-49cb-b8cb-2ea983f95f24_ActionId">
    <vt:lpwstr>2f6eada0-c85c-4ae8-a5d9-92554ac559bc</vt:lpwstr>
  </property>
  <property fmtid="{D5CDD505-2E9C-101B-9397-08002B2CF9AE}" pid="12" name="MSIP_Label_a45174eb-66eb-49cb-b8cb-2ea983f95f24_ContentBits">
    <vt:lpwstr>1</vt:lpwstr>
  </property>
</Properties>
</file>