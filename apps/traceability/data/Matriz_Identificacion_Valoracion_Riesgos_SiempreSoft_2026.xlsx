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C:\Users\KarimSalazar\Downloads\"/>
    </mc:Choice>
  </mc:AlternateContent>
  <xr:revisionPtr revIDLastSave="0" documentId="13_ncr:1_{C36DC08C-F282-4292-BF48-FE8E334121C3}" xr6:coauthVersionLast="47" xr6:coauthVersionMax="47" xr10:uidLastSave="{00000000-0000-0000-0000-000000000000}"/>
  <bookViews>
    <workbookView xWindow="-108" yWindow="-108" windowWidth="23256" windowHeight="12456" tabRatio="500" firstSheet="2" activeTab="2" xr2:uid="{00000000-000D-0000-FFFF-FFFF00000000}"/>
  </bookViews>
  <sheets>
    <sheet name="Guía y metodología" sheetId="1" r:id="rId1"/>
    <sheet name="Datos maestros" sheetId="2" r:id="rId2"/>
    <sheet name="Matriz de riesgos" sheetId="3" r:id="rId3"/>
    <sheet name="Tratamiento de riesgos" sheetId="4" r:id="rId4"/>
    <sheet name="Mapa de calor" sheetId="5" r:id="rId5"/>
  </sheets>
  <definedNames>
    <definedName name="_xlnm._FilterDatabase" localSheetId="1" hidden="1">'Datos maestros'!$A$48:$E$114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5" i="5" l="1"/>
  <c r="B34" i="5"/>
  <c r="B33" i="5"/>
  <c r="B32" i="5"/>
  <c r="B31" i="5"/>
  <c r="B30" i="5"/>
  <c r="B29" i="5"/>
  <c r="F10" i="5"/>
  <c r="E10" i="5"/>
  <c r="D10" i="5"/>
  <c r="C10" i="5"/>
  <c r="B10" i="5"/>
  <c r="F9" i="5"/>
  <c r="E9" i="5"/>
  <c r="D9" i="5"/>
  <c r="C9" i="5"/>
  <c r="B9" i="5"/>
  <c r="F8" i="5"/>
  <c r="E8" i="5"/>
  <c r="D8" i="5"/>
  <c r="C8" i="5"/>
  <c r="B8" i="5"/>
  <c r="F7" i="5"/>
  <c r="E7" i="5"/>
  <c r="D7" i="5"/>
  <c r="C7" i="5"/>
  <c r="B7" i="5"/>
  <c r="N50" i="4"/>
  <c r="A50" i="4"/>
  <c r="N49" i="4"/>
  <c r="A49" i="4"/>
  <c r="N48" i="4"/>
  <c r="A48" i="4"/>
  <c r="N47" i="4"/>
  <c r="A47" i="4"/>
  <c r="N46" i="4"/>
  <c r="A46" i="4"/>
  <c r="N45" i="4"/>
  <c r="A45" i="4"/>
  <c r="N44" i="4"/>
  <c r="A44" i="4"/>
  <c r="N43" i="4"/>
  <c r="A43" i="4"/>
  <c r="N42" i="4"/>
  <c r="A42" i="4"/>
  <c r="N41" i="4"/>
  <c r="A41" i="4"/>
  <c r="N40" i="4"/>
  <c r="A40" i="4"/>
  <c r="N39" i="4"/>
  <c r="A39" i="4"/>
  <c r="N38" i="4"/>
  <c r="A38" i="4"/>
  <c r="N37" i="4"/>
  <c r="A37" i="4"/>
  <c r="N36" i="4"/>
  <c r="A36" i="4"/>
  <c r="N35" i="4"/>
  <c r="A35" i="4"/>
  <c r="N34" i="4"/>
  <c r="A34" i="4"/>
  <c r="N33" i="4"/>
  <c r="A33" i="4"/>
  <c r="N32" i="4"/>
  <c r="A32" i="4"/>
  <c r="N31" i="4"/>
  <c r="A31" i="4"/>
  <c r="N30" i="4"/>
  <c r="A30" i="4"/>
  <c r="N29" i="4"/>
  <c r="A29" i="4"/>
  <c r="N28" i="4"/>
  <c r="A28" i="4"/>
  <c r="N27" i="4"/>
  <c r="A27" i="4"/>
  <c r="N26" i="4"/>
  <c r="A26" i="4"/>
  <c r="N25" i="4"/>
  <c r="A25" i="4"/>
  <c r="N24" i="4"/>
  <c r="A24" i="4"/>
  <c r="N23" i="4"/>
  <c r="A23" i="4"/>
  <c r="N22" i="4"/>
  <c r="A22" i="4"/>
  <c r="N21" i="4"/>
  <c r="A21" i="4"/>
  <c r="N20" i="4"/>
  <c r="C20" i="4"/>
  <c r="N19" i="4"/>
  <c r="C19" i="4"/>
  <c r="N18" i="4"/>
  <c r="C18" i="4"/>
  <c r="N17" i="4"/>
  <c r="C17" i="4"/>
  <c r="N16" i="4"/>
  <c r="C16" i="4"/>
  <c r="N15" i="4"/>
  <c r="C15" i="4"/>
  <c r="N14" i="4"/>
  <c r="C14" i="4"/>
  <c r="N13" i="4"/>
  <c r="C13" i="4"/>
  <c r="N12" i="4"/>
  <c r="D12" i="4"/>
  <c r="C12" i="4"/>
  <c r="N11" i="4"/>
  <c r="C11" i="4"/>
  <c r="N10" i="4"/>
  <c r="C10" i="4"/>
  <c r="N9" i="4"/>
  <c r="C9" i="4"/>
  <c r="N8" i="4"/>
  <c r="C8" i="4"/>
  <c r="N7" i="4"/>
  <c r="C7" i="4"/>
  <c r="N6" i="4"/>
  <c r="C6" i="4"/>
  <c r="N5" i="4"/>
  <c r="C5" i="4"/>
  <c r="O80" i="3"/>
  <c r="N80" i="3"/>
  <c r="K80" i="3"/>
  <c r="A80" i="3"/>
  <c r="O79" i="3"/>
  <c r="K79" i="3"/>
  <c r="A79" i="3"/>
  <c r="N79" i="3" s="1"/>
  <c r="O78" i="3"/>
  <c r="N78" i="3"/>
  <c r="K78" i="3"/>
  <c r="A78" i="3"/>
  <c r="O77" i="3"/>
  <c r="K77" i="3"/>
  <c r="A77" i="3"/>
  <c r="N77" i="3" s="1"/>
  <c r="O76" i="3"/>
  <c r="N76" i="3"/>
  <c r="K76" i="3"/>
  <c r="A76" i="3"/>
  <c r="O75" i="3"/>
  <c r="K75" i="3"/>
  <c r="A75" i="3"/>
  <c r="N75" i="3" s="1"/>
  <c r="O74" i="3"/>
  <c r="N74" i="3"/>
  <c r="K74" i="3"/>
  <c r="A74" i="3"/>
  <c r="O73" i="3"/>
  <c r="K73" i="3"/>
  <c r="A73" i="3"/>
  <c r="N73" i="3" s="1"/>
  <c r="O72" i="3"/>
  <c r="N72" i="3"/>
  <c r="K72" i="3"/>
  <c r="A72" i="3"/>
  <c r="O71" i="3"/>
  <c r="K71" i="3"/>
  <c r="A71" i="3"/>
  <c r="N71" i="3" s="1"/>
  <c r="O70" i="3"/>
  <c r="N70" i="3"/>
  <c r="K70" i="3"/>
  <c r="A70" i="3"/>
  <c r="O69" i="3"/>
  <c r="K69" i="3"/>
  <c r="A69" i="3"/>
  <c r="N69" i="3" s="1"/>
  <c r="O68" i="3"/>
  <c r="N68" i="3"/>
  <c r="K68" i="3"/>
  <c r="A68" i="3"/>
  <c r="O67" i="3"/>
  <c r="K67" i="3"/>
  <c r="A67" i="3"/>
  <c r="N67" i="3" s="1"/>
  <c r="O66" i="3"/>
  <c r="N66" i="3"/>
  <c r="K66" i="3"/>
  <c r="A66" i="3"/>
  <c r="O65" i="3"/>
  <c r="K65" i="3"/>
  <c r="A65" i="3"/>
  <c r="N65" i="3" s="1"/>
  <c r="O64" i="3"/>
  <c r="N64" i="3"/>
  <c r="K64" i="3"/>
  <c r="A64" i="3"/>
  <c r="O63" i="3"/>
  <c r="K63" i="3"/>
  <c r="A63" i="3"/>
  <c r="N63" i="3" s="1"/>
  <c r="O62" i="3"/>
  <c r="K62" i="3"/>
  <c r="A62" i="3"/>
  <c r="N62" i="3" s="1"/>
  <c r="O61" i="3"/>
  <c r="K61" i="3"/>
  <c r="A61" i="3"/>
  <c r="D50" i="4" s="1"/>
  <c r="O60" i="3"/>
  <c r="N60" i="3"/>
  <c r="K60" i="3"/>
  <c r="O59" i="3"/>
  <c r="N59" i="3"/>
  <c r="K59" i="3"/>
  <c r="O58" i="3"/>
  <c r="N58" i="3"/>
  <c r="K58" i="3"/>
  <c r="O57" i="3"/>
  <c r="N57" i="3"/>
  <c r="K57" i="3"/>
  <c r="O56" i="3"/>
  <c r="N56" i="3"/>
  <c r="K56" i="3"/>
  <c r="O55" i="3"/>
  <c r="N55" i="3"/>
  <c r="K55" i="3"/>
  <c r="O54" i="3"/>
  <c r="N54" i="3"/>
  <c r="K54" i="3"/>
  <c r="D20" i="4" s="1"/>
  <c r="O53" i="3"/>
  <c r="N53" i="3"/>
  <c r="K53" i="3"/>
  <c r="D19" i="4" s="1"/>
  <c r="O52" i="3"/>
  <c r="N52" i="3"/>
  <c r="K52" i="3"/>
  <c r="D18" i="4" s="1"/>
  <c r="O51" i="3"/>
  <c r="N51" i="3"/>
  <c r="K51" i="3"/>
  <c r="O50" i="3"/>
  <c r="N50" i="3"/>
  <c r="K50" i="3"/>
  <c r="D17" i="4" s="1"/>
  <c r="O49" i="3"/>
  <c r="N49" i="3"/>
  <c r="K49" i="3"/>
  <c r="D16" i="4" s="1"/>
  <c r="O48" i="3"/>
  <c r="N48" i="3"/>
  <c r="K48" i="3"/>
  <c r="D15" i="4" s="1"/>
  <c r="O47" i="3"/>
  <c r="N47" i="3"/>
  <c r="K47" i="3"/>
  <c r="D14" i="4" s="1"/>
  <c r="O46" i="3"/>
  <c r="N46" i="3"/>
  <c r="K46" i="3"/>
  <c r="D13" i="4" s="1"/>
  <c r="O45" i="3"/>
  <c r="N45" i="3"/>
  <c r="K45" i="3"/>
  <c r="O44" i="3"/>
  <c r="N44" i="3"/>
  <c r="K44" i="3"/>
  <c r="O43" i="3"/>
  <c r="N43" i="3"/>
  <c r="K43" i="3"/>
  <c r="D11" i="4" s="1"/>
  <c r="O42" i="3"/>
  <c r="N42" i="3"/>
  <c r="K42" i="3"/>
  <c r="O41" i="3"/>
  <c r="N41" i="3"/>
  <c r="K41" i="3"/>
  <c r="O40" i="3"/>
  <c r="N40" i="3"/>
  <c r="K40" i="3"/>
  <c r="O39" i="3"/>
  <c r="N39" i="3"/>
  <c r="K39" i="3"/>
  <c r="D10" i="4" s="1"/>
  <c r="O38" i="3"/>
  <c r="N38" i="3"/>
  <c r="K38" i="3"/>
  <c r="O37" i="3"/>
  <c r="N37" i="3"/>
  <c r="K37" i="3"/>
  <c r="O36" i="3"/>
  <c r="N36" i="3"/>
  <c r="K36" i="3"/>
  <c r="O35" i="3"/>
  <c r="N35" i="3"/>
  <c r="K35" i="3"/>
  <c r="O34" i="3"/>
  <c r="N34" i="3"/>
  <c r="K34" i="3"/>
  <c r="O33" i="3"/>
  <c r="N33" i="3"/>
  <c r="K33" i="3"/>
  <c r="D9" i="4" s="1"/>
  <c r="O32" i="3"/>
  <c r="N32" i="3"/>
  <c r="K32" i="3"/>
  <c r="D8" i="4" s="1"/>
  <c r="O31" i="3"/>
  <c r="N31" i="3"/>
  <c r="K31" i="3"/>
  <c r="O30" i="3"/>
  <c r="N30" i="3"/>
  <c r="K30" i="3"/>
  <c r="O29" i="3"/>
  <c r="N29" i="3"/>
  <c r="K29" i="3"/>
  <c r="O28" i="3"/>
  <c r="N28" i="3"/>
  <c r="K28" i="3"/>
  <c r="O27" i="3"/>
  <c r="N27" i="3"/>
  <c r="K27" i="3"/>
  <c r="D7" i="4" s="1"/>
  <c r="O26" i="3"/>
  <c r="N26" i="3"/>
  <c r="K26" i="3"/>
  <c r="O25" i="3"/>
  <c r="N25" i="3"/>
  <c r="K25" i="3"/>
  <c r="O24" i="3"/>
  <c r="N24" i="3"/>
  <c r="K24" i="3"/>
  <c r="O23" i="3"/>
  <c r="N23" i="3"/>
  <c r="K23" i="3"/>
  <c r="O22" i="3"/>
  <c r="N22" i="3"/>
  <c r="K22" i="3"/>
  <c r="O21" i="3"/>
  <c r="N21" i="3"/>
  <c r="K21" i="3"/>
  <c r="O20" i="3"/>
  <c r="N20" i="3"/>
  <c r="K20" i="3"/>
  <c r="D6" i="4" s="1"/>
  <c r="O19" i="3"/>
  <c r="N19" i="3"/>
  <c r="K19" i="3"/>
  <c r="O18" i="3"/>
  <c r="N18" i="3"/>
  <c r="K18" i="3"/>
  <c r="O17" i="3"/>
  <c r="N17" i="3"/>
  <c r="K17" i="3"/>
  <c r="O16" i="3"/>
  <c r="N16" i="3"/>
  <c r="K16" i="3"/>
  <c r="O15" i="3"/>
  <c r="N15" i="3"/>
  <c r="K15" i="3"/>
  <c r="O14" i="3"/>
  <c r="N14" i="3"/>
  <c r="K14" i="3"/>
  <c r="O13" i="3"/>
  <c r="N13" i="3"/>
  <c r="K13" i="3"/>
  <c r="O12" i="3"/>
  <c r="N12" i="3"/>
  <c r="K12" i="3"/>
  <c r="O11" i="3"/>
  <c r="N11" i="3"/>
  <c r="K11" i="3"/>
  <c r="O10" i="3"/>
  <c r="N10" i="3"/>
  <c r="K10" i="3"/>
  <c r="D5" i="4" s="1"/>
  <c r="O9" i="3"/>
  <c r="N9" i="3"/>
  <c r="K9" i="3"/>
  <c r="O8" i="3"/>
  <c r="N8" i="3"/>
  <c r="K8" i="3"/>
  <c r="O7" i="3"/>
  <c r="N7" i="3"/>
  <c r="K7" i="3"/>
  <c r="O6" i="3"/>
  <c r="N6" i="3"/>
  <c r="K6" i="3"/>
  <c r="O5" i="3"/>
  <c r="N5" i="3"/>
  <c r="K5" i="3"/>
  <c r="B25" i="5" l="1"/>
  <c r="C23" i="4"/>
  <c r="C27" i="4"/>
  <c r="C31" i="4"/>
  <c r="C35" i="4"/>
  <c r="C39" i="4"/>
  <c r="C43" i="4"/>
  <c r="C47" i="4"/>
  <c r="D23" i="4"/>
  <c r="D27" i="4"/>
  <c r="D31" i="4"/>
  <c r="D35" i="4"/>
  <c r="D39" i="4"/>
  <c r="D43" i="4"/>
  <c r="D47" i="4"/>
  <c r="B21" i="5"/>
  <c r="C24" i="4"/>
  <c r="C28" i="4"/>
  <c r="C32" i="4"/>
  <c r="C36" i="4"/>
  <c r="C40" i="4"/>
  <c r="C44" i="4"/>
  <c r="C48" i="4"/>
  <c r="B22" i="5"/>
  <c r="D24" i="4"/>
  <c r="D28" i="4"/>
  <c r="D32" i="4"/>
  <c r="D36" i="4"/>
  <c r="D40" i="4"/>
  <c r="D44" i="4"/>
  <c r="D48" i="4"/>
  <c r="B23" i="5"/>
  <c r="B24" i="5"/>
  <c r="C21" i="4"/>
  <c r="C25" i="4"/>
  <c r="C29" i="4"/>
  <c r="C33" i="4"/>
  <c r="C37" i="4"/>
  <c r="C41" i="4"/>
  <c r="C45" i="4"/>
  <c r="C49" i="4"/>
  <c r="N61" i="3"/>
  <c r="D21" i="4"/>
  <c r="D25" i="4"/>
  <c r="D29" i="4"/>
  <c r="D33" i="4"/>
  <c r="D37" i="4"/>
  <c r="D41" i="4"/>
  <c r="D45" i="4"/>
  <c r="D49" i="4"/>
  <c r="C22" i="4"/>
  <c r="C26" i="4"/>
  <c r="C30" i="4"/>
  <c r="C34" i="4"/>
  <c r="C38" i="4"/>
  <c r="C42" i="4"/>
  <c r="C46" i="4"/>
  <c r="C50" i="4"/>
  <c r="D22" i="4"/>
  <c r="D26" i="4"/>
  <c r="D30" i="4"/>
  <c r="D34" i="4"/>
  <c r="D38" i="4"/>
  <c r="D42" i="4"/>
  <c r="D46" i="4"/>
</calcChain>
</file>

<file path=xl/sharedStrings.xml><?xml version="1.0" encoding="utf-8"?>
<sst xmlns="http://schemas.openxmlformats.org/spreadsheetml/2006/main" count="1340" uniqueCount="706">
  <si>
    <t>Matriz de Identificación y Valoración de Riesgos</t>
  </si>
  <si>
    <t>SiempreSoft · Enfoque basado en eventos (ISO/IEC 27005:2022, Anexo A)</t>
  </si>
  <si>
    <t>1. Dos ejes de clasificación: Origen vs. Categoría</t>
  </si>
  <si>
    <t>"Origen del riesgo" (Deliberado / Accidental-humano / Accidental-técnico / Ambiental) responde a QUIÉN o QUÉ dispara la amenaza — es la taxonomía de fuente de riesgo del Anexo A/B de ISO/IEC 27005:2022, que solo reconoce 3 orígenes (D/A/E, igual que tu hoja "Amenazas"): una falla técnica no es intencional ni ambiental, así que cae dentro de "Accidental" — aquí se subdivide en humano/técnico solo como ayuda operativa para saber qué tipo de control aplicar. "Categoría de riesgo" (Estratégico, Financiero, Operativo, Tecnológico, Legal/Normativo, Reputacional, Político) responde a EN QUÉ ÁMBITO DE NEGOCIO impacta — es la clasificación que usan COSO ERM / ISO 31000 para reportar a la dirección. Son ejes independientes: un mismo riesgo puede ser Origen=Deliberado + Categoría=Financiero (un estafador que busca beneficio económico), u Origen=Accidental-técnico + Categoría=Tecnológico (falla de Azure). Se agregó una columna nueva para cada eje en la hoja "Matriz de riesgos".</t>
  </si>
  <si>
    <t>2. Catálogo de fuentes/amenazas por origen</t>
  </si>
  <si>
    <t>Las 8 categorías de fuente de riesgo deliberada (Relacionado a estados, Crimen organizado, Terrorista, Activista ideológico, Cibermercenario, Aficionado, Vengador, Agresor patológico) son el catálogo FIJO del Anexo A de ISO/IEC 27005:2022 — no es un límite que se haya impuesto, es la lista textual del estándar. Para los orígenes Accidental, Ambiental y Técnico existe otro catálogo, el de tipos de amenaza (Anexo B), que ya tenías cargado en tu hoja "Amenazas" con 72 entradas agrupadas en 7 tipos (física, eventos naturales, falla de infraestructura, fallas técnicas, acciones humanas, compromiso de funciones, amenazas organizacionales). En "Datos maestros" se agregó una tabla resumen de esos 7 tipos con ejemplos, que remite a tu catálogo completo para el detalle.</t>
  </si>
  <si>
    <t>3. Matriz de nivel de riesgo (se mantiene 5×4)</t>
  </si>
  <si>
    <t>Se decidió mantener la matriz tal como la tienes (Consecuencia 5 niveles × Probabilidad 4 niveles), ya que la usan en otros documentos del SGSI. Nota para consistencia futura: si en algún momento migran a una matriz simétrica (5×5) o a un puntaje semicuantitativo, solo hay que actualizar la tabla H de "Datos maestros" — la fórmula de Nivel de riesgo en la matriz ya está preparada para leer de ahí sin tocar cada fila.</t>
  </si>
  <si>
    <t>4. Qué cambia respecto a tu archivo original</t>
  </si>
  <si>
    <t>●  Fuente de riesgo vs. causa técnica</t>
  </si>
  <si>
    <t>En tu archivo, "Fuente de riesgo" mezclaba el agente (ej. "Organización criminal") con la causa técnica (ej. "Ausencia de pruebas en staging"). Se separó en "Origen del riesgo" (clasificado automáticamente, en cursiva gris — valídalo) y "Fuente de riesgo (causa u origen específico)" con tu texto original.</t>
  </si>
  <si>
    <t>●  DES solo aplica a orígenes deliberados</t>
  </si>
  <si>
    <t>El "Estado final deseado" (motivación) solo tiene sentido cuando hay un actor con intención. Para orígenes accidentales/ambientales/técnicos no hay "motivación" real — documenta ahí la causa raíz.</t>
  </si>
  <si>
    <t>●  Nivel de riesgo por fórmula, no texto fijo</t>
  </si>
  <si>
    <t>Se calcula con INDEX/MATCH contra la matriz de "Datos maestros". Esto detectó un dato inconsistente en tu fila R51: consecuencia "4 - Serio" (en tu escala, 4 es "Crítico") y probabilidad "4 - Probable" (debería ser "4 – Muy probable") — revísalo.</t>
  </si>
  <si>
    <t>●  16 registros incompletos</t>
  </si>
  <si>
    <t>R41–R51 sin DES ni, en varios casos, controles; R52–R56 (tus filas nuevas) sin proceso ni evaluación. Se trasladaron con las celdas pendientes resaltadas en amarillo — no se inventó ninguna valoración.</t>
  </si>
  <si>
    <t>5. Estructura del archivo</t>
  </si>
  <si>
    <t>Guía y metodología</t>
  </si>
  <si>
    <t>Esta hoja.</t>
  </si>
  <si>
    <t>Datos maestros</t>
  </si>
  <si>
    <t>Listas desplegables: procesos, origen del riesgo, categoría de riesgo, categorías de fuente deliberada (Anexo A), tipos de amenaza por origen A/E/T (Anexo B), motivaciones/DES, objetivos meta, escalas de consecuencia y probabilidad con criterios, matriz 5×4, propietarios, tratamiento y estados.</t>
  </si>
  <si>
    <t>Matriz de riesgos</t>
  </si>
  <si>
    <t>Identificación y valoración de los 56 riesgos existentes reorganizados + 20 filas en blanco. Nivel de riesgo y estado de completitud son fórmulas automáticas.</t>
  </si>
  <si>
    <t>Mapa de calor</t>
  </si>
  <si>
    <t>Conteo automático de riesgos por celda de la matriz 5×4, coloreado como heat map.</t>
  </si>
  <si>
    <t>6. Leyenda de colores</t>
  </si>
  <si>
    <t xml:space="preserve">   </t>
  </si>
  <si>
    <t>Celda pendiente de completar (dato que falta en tu archivo original o fila nueva).</t>
  </si>
  <si>
    <t>Celda calculada por fórmula — no editar a mano.</t>
  </si>
  <si>
    <t>Cursiva gris</t>
  </si>
  <si>
    <t>Origen o categoría sugeridos automáticamente a partir del texto original — valídalos.</t>
  </si>
  <si>
    <t>7. Subsanación Obs.2 de auditoría (6.1.3 — pestaña de tratamiento separada y vinculada)</t>
  </si>
  <si>
    <t>El auditor observó que el tratamiento de riesgos debía ir en una pestaña propia, separada de la identificación/análisis/evaluación, y vinculada a ella. Se creó la hoja "Tratamiento de riesgos": cada fila referencia un ID de la "Matriz de riesgos" mediante un desplegable (no texto libre), y el Proceso y el Nivel de riesgo se traen automáticamente con VLOOKUP — si cambias la evaluación de un riesgo, su tratamiento se actualiza solo. En la "Matriz de riesgos" se retiraron las columnas de tratamiento (Opción, Estado, Observaciones) y se dejó una sola columna "¿Tiene tratamiento asignado?" que verifica contra la hoja nueva — se resalta en rojo cuando un riesgo Alto o Muy alto no tiene tratamiento registrado, para que puedas priorizar antes de la próxima auditoría. Se importaron los 16 tratamientos que ya tenías documentados (R06, R16, R23, R28, R29, R35, R39, R40, R42–R46, R48–R50); los de "Riesgos de Proyectos" (PY0x) no aplican a esta matriz y siguen en tu hoja original.</t>
  </si>
  <si>
    <t>DATOS MAESTROS · listas desplegables y escalas de la matriz de riesgos</t>
  </si>
  <si>
    <t>A. Procesos</t>
  </si>
  <si>
    <t>Proceso</t>
  </si>
  <si>
    <t>Revisión por la Dirección</t>
  </si>
  <si>
    <t>Validación de comprobantes OSE</t>
  </si>
  <si>
    <t>Gestion Comercial</t>
  </si>
  <si>
    <t>Gestión del éxito y atención del cliente</t>
  </si>
  <si>
    <t>Ingenieria y calidad de sofware</t>
  </si>
  <si>
    <t>Gestion de operaciones</t>
  </si>
  <si>
    <t>Recursos humanos</t>
  </si>
  <si>
    <t>Fscturación y cobranza</t>
  </si>
  <si>
    <t>Logística</t>
  </si>
  <si>
    <t>Infraestructura tecnológica</t>
  </si>
  <si>
    <t>Marketing</t>
  </si>
  <si>
    <t>B. Origen del riesgo (¿quién/qué lo origina? — Anexo A ISO/IEC 27005:2022)</t>
  </si>
  <si>
    <t>Origen</t>
  </si>
  <si>
    <t>Descripción</t>
  </si>
  <si>
    <t>Deliberado (humano intencional)</t>
  </si>
  <si>
    <t>Actor con intención consciente de causar daño u obtener beneficio (ciberdelincuentes, competidores, clientes hostiles, personal con intención maliciosa). Aquí sí aplica el DES / motivación.</t>
  </si>
  <si>
    <t>Accidental - humano (error no intencional)</t>
  </si>
  <si>
    <t>Subtipo de "Accidental" (código A del Anexo B). Error humano, falta de capacitación, procesos manuales, negligencia sin intención de dañar.</t>
  </si>
  <si>
    <t>Técnico (falla de sistema/infraestructura)</t>
  </si>
  <si>
    <t>Subtipo de "Accidental" (código A del Anexo B). El estándar no distingue un origen "Técnico" aparte: una falla de sistema no es intencional (no es D) ni viene del entorno físico (no es E), así que cae en Accidental. Se separa aquí solo como ayuda operativa, para diferenciar el control a aplicar (automatización/redundancia vs. capacitación/doble validación).
Fallas de hardware/software, obsolescencia, configuración, capacidad, dependencia de terceros tecnológicos (ej. Azure).</t>
  </si>
  <si>
    <t>Ambiental</t>
  </si>
  <si>
    <t>Fenómenos naturales o climáticos: lluvias, inundaciones, sismos, descargas eléctricas. Código E del Anexo B.</t>
  </si>
  <si>
    <t>C. Categoría de riesgo (¿en qué ámbito de negocio impacta? — estilo COSO ERM / ISO 31000)</t>
  </si>
  <si>
    <t>Categoría</t>
  </si>
  <si>
    <t>Estratégico</t>
  </si>
  <si>
    <t>Afecta objetivos de negocio, crecimiento, mercado o modelo de negocio a mediano/largo plazo.</t>
  </si>
  <si>
    <t>Financiero</t>
  </si>
  <si>
    <t>Pérdida económica directa, costos, flujo de caja, cobranza, crédito, fraude con impacto monetario.</t>
  </si>
  <si>
    <t>Operativo</t>
  </si>
  <si>
    <t>Afecta la ejecución diaria de procesos: producción, soporte, calidad, capacidad, continuidad.</t>
  </si>
  <si>
    <t>Tecnológico</t>
  </si>
  <si>
    <t>Fallas o debilidades de sistemas, infraestructura, software, datos, ciberseguridad.</t>
  </si>
  <si>
    <t>Legal / Normativo</t>
  </si>
  <si>
    <t>Incumplimiento normativo, multas, sanciones, pérdida de autorización (SUNAT, PSE, OSE).</t>
  </si>
  <si>
    <t>Reputacional</t>
  </si>
  <si>
    <t>Daño a la imagen, confianza del cliente, quejas públicas, pérdida de credibilidad.</t>
  </si>
  <si>
    <t>Político</t>
  </si>
  <si>
    <t>Cambios regulatorios de origen gubernamental, relaciones con entidades públicas, entorno político/país.</t>
  </si>
  <si>
    <t>D. Categorías de fuente de riesgo DELIBERADA (catálogo fijo, Anexo A ISO/IEC 27005:2022)</t>
  </si>
  <si>
    <t>Categoría de fuente</t>
  </si>
  <si>
    <t>Actores típicos</t>
  </si>
  <si>
    <t>Método de ataque típico</t>
  </si>
  <si>
    <t>Relacionado a estados</t>
  </si>
  <si>
    <t>Estados, agencias de inteligencia</t>
  </si>
  <si>
    <t>Ataques dirigidos, profesionales, calendario predefinido (cadena de suministro).</t>
  </si>
  <si>
    <t>Crimen organizado</t>
  </si>
  <si>
    <t>Mafias, pandillas, organizaciones cibercriminales</t>
  </si>
  <si>
    <t>Estafas, ransomware, botnets, con fines lucrativos.</t>
  </si>
  <si>
    <t>Terrorista</t>
  </si>
  <si>
    <t>Ciber-terroristas, ciber-milicias</t>
  </si>
  <si>
    <t>Ataques poco sofisticados pero destructivos: denegación de servicio.</t>
  </si>
  <si>
    <t>Activista ideológico</t>
  </si>
  <si>
    <t>Ciber-hacktivistas, grupos de interés</t>
  </si>
  <si>
    <t>Similar al terrorista pero con intención menos destructiva (transmite una ideología).</t>
  </si>
  <si>
    <t>Cibermercenario</t>
  </si>
  <si>
    <t>Hackers especializados que crean kits/herramientas</t>
  </si>
  <si>
    <t>Diseño y venta de kits de ataque disponibles en línea.</t>
  </si>
  <si>
    <t>Aficionado</t>
  </si>
  <si>
    <t>Script-kiddies con buenos conocimientos informáticos</t>
  </si>
  <si>
    <t>Ataques básicos usando kits de ataque disponibles en línea.</t>
  </si>
  <si>
    <t>Vengador</t>
  </si>
  <si>
    <t>Ex-empleado, proveedor descontento</t>
  </si>
  <si>
    <t>Determinación y conocimiento interno de sistemas y procesos.</t>
  </si>
  <si>
    <t>Agresor patológico</t>
  </si>
  <si>
    <t>Competidor desleal, cliente deshonesto, estafador</t>
  </si>
  <si>
    <t>Base de conocimiento informático o subcontratación del ataque.</t>
  </si>
  <si>
    <t>E. Catálogo de amenazas para orígenes Accidental / Ambiental / Técnico (Anexo B ISO/IEC 27005:2022, tomado íntegro de tu hoja "Amenazas")</t>
  </si>
  <si>
    <t>A diferencia de "Deliberado" (que sí tiene su propio catálogo de actores en la tabla D, porque hay una intención humana caracterizable), el estándar NO define categorías de "fuente" separadas para Accidental/Ambiental/Técnico. En su lugar usa un catálogo único de amenazas (Anexo B), diferenciado por la columna Origen (D=deliberada, A=accidental, E=ambiental) — porque una misma amenaza puede tener más de un origen (ej. "Fuego" puede ser accidental, deliberado o ambiental a la vez). "Técnico" no es un código del estándar: es una subdivisión práctica que agregamos marcando en la columna ¿Técnico? las filas de los tipos "Fallas técnicas" y "Falla de infraestructura". Usa el autofiltro de Excel en esta tabla para quedarte solo con las filas que te interesan.</t>
  </si>
  <si>
    <t>Código</t>
  </si>
  <si>
    <t>Amenaza</t>
  </si>
  <si>
    <t>Tipo</t>
  </si>
  <si>
    <t>Origen (D/A/E)</t>
  </si>
  <si>
    <t>¿Técnico?</t>
  </si>
  <si>
    <t>TP01</t>
  </si>
  <si>
    <t>Fuego</t>
  </si>
  <si>
    <t>Amenaza física</t>
  </si>
  <si>
    <t>A, D, E</t>
  </si>
  <si>
    <t>TP02</t>
  </si>
  <si>
    <t>Agua</t>
  </si>
  <si>
    <t>TP03</t>
  </si>
  <si>
    <t>Contaminación, Radiación nociva</t>
  </si>
  <si>
    <t>TP04</t>
  </si>
  <si>
    <t>Accidente grave</t>
  </si>
  <si>
    <t>TP05</t>
  </si>
  <si>
    <t>Explosión</t>
  </si>
  <si>
    <t>TP06</t>
  </si>
  <si>
    <t xml:space="preserve">Polvo, corrosión, congelamiento </t>
  </si>
  <si>
    <t>TN01</t>
  </si>
  <si>
    <t>Fenómeno climático</t>
  </si>
  <si>
    <t>Eventos naturales</t>
  </si>
  <si>
    <t>E</t>
  </si>
  <si>
    <t>TN02</t>
  </si>
  <si>
    <t>Fenómenos sísmicos</t>
  </si>
  <si>
    <t>TN03</t>
  </si>
  <si>
    <t>Fenómeno volcánico</t>
  </si>
  <si>
    <t>TN04</t>
  </si>
  <si>
    <t xml:space="preserve">Fenómeno meteorológico </t>
  </si>
  <si>
    <t>TN05</t>
  </si>
  <si>
    <t>Inundación</t>
  </si>
  <si>
    <t>TN06</t>
  </si>
  <si>
    <t>Fenómeno pandémico/epidémico</t>
  </si>
  <si>
    <t>TI01</t>
  </si>
  <si>
    <t>Falla de un sistema de suministro</t>
  </si>
  <si>
    <t>Falla de infraestructura</t>
  </si>
  <si>
    <t>A, D</t>
  </si>
  <si>
    <t>Sí</t>
  </si>
  <si>
    <t>TI02</t>
  </si>
  <si>
    <t>Falla de sistemas de ventilación o enfriamiento</t>
  </si>
  <si>
    <t>TI03</t>
  </si>
  <si>
    <t xml:space="preserve">Pérdida de suministro de energía </t>
  </si>
  <si>
    <t>TI04</t>
  </si>
  <si>
    <t xml:space="preserve">Falla de una red de telecomunicaciones </t>
  </si>
  <si>
    <t>TI05</t>
  </si>
  <si>
    <t xml:space="preserve">Falla de equipamiento de telecomunicaciones </t>
  </si>
  <si>
    <t>TI06</t>
  </si>
  <si>
    <t>Radiación electromagnética</t>
  </si>
  <si>
    <t>TI07</t>
  </si>
  <si>
    <t xml:space="preserve">Radiación térmica </t>
  </si>
  <si>
    <t>TI08</t>
  </si>
  <si>
    <t xml:space="preserve">Pulsos electromagnéticos </t>
  </si>
  <si>
    <t>TT01</t>
  </si>
  <si>
    <t>Falla de un dispositivo o sistema</t>
  </si>
  <si>
    <t>Fallas técnicas</t>
  </si>
  <si>
    <t>A</t>
  </si>
  <si>
    <t>TT02</t>
  </si>
  <si>
    <t>Saturación del sistema de información</t>
  </si>
  <si>
    <t>TT03</t>
  </si>
  <si>
    <t>Violación de la capacidad de mantenimiento del sistema de información</t>
  </si>
  <si>
    <t>TH01</t>
  </si>
  <si>
    <t>Terror, ataque, sabotaje</t>
  </si>
  <si>
    <t>Acciones humanas</t>
  </si>
  <si>
    <t>D</t>
  </si>
  <si>
    <t>TH02</t>
  </si>
  <si>
    <t>Ingeniería social</t>
  </si>
  <si>
    <t>TH03</t>
  </si>
  <si>
    <t>La interceptación de la radiación de un dispositivo</t>
  </si>
  <si>
    <t>TH04</t>
  </si>
  <si>
    <t xml:space="preserve">Espionaje remoto </t>
  </si>
  <si>
    <t>TH05</t>
  </si>
  <si>
    <t>Escuchar a escondidas</t>
  </si>
  <si>
    <t>TH06</t>
  </si>
  <si>
    <t>Robo de medios o documentos (incluye robo en cuenta bancaria)</t>
  </si>
  <si>
    <t>TH07</t>
  </si>
  <si>
    <t xml:space="preserve">Robo de equipos </t>
  </si>
  <si>
    <t>TH08</t>
  </si>
  <si>
    <t>Robo de identidad digital o credenciales</t>
  </si>
  <si>
    <t>TH09</t>
  </si>
  <si>
    <t>Recuperación de medios reciclados o desechados</t>
  </si>
  <si>
    <t>TH10</t>
  </si>
  <si>
    <t>Revelación de información</t>
  </si>
  <si>
    <t>TH11</t>
  </si>
  <si>
    <t>Entrada de datos de fuentes no confiables</t>
  </si>
  <si>
    <t>TH12</t>
  </si>
  <si>
    <t xml:space="preserve">Manipulación (tampering) con hardware </t>
  </si>
  <si>
    <t>TH13</t>
  </si>
  <si>
    <t xml:space="preserve">Manipulación (tampering) con software </t>
  </si>
  <si>
    <t>TH14</t>
  </si>
  <si>
    <t>Drive-by-exploits usando comunicación basada en web</t>
  </si>
  <si>
    <t>TH15</t>
  </si>
  <si>
    <t>Ataque de repetición, ataque man-in-the-middle</t>
  </si>
  <si>
    <t>TH16</t>
  </si>
  <si>
    <t>Tratamiento no autorizado de datos personales</t>
  </si>
  <si>
    <t>TH17</t>
  </si>
  <si>
    <t>Entrada no autorizada a las instalaciones</t>
  </si>
  <si>
    <t>TH18</t>
  </si>
  <si>
    <t>Uso no autorizado de equipos/servidores/aplicaciones</t>
  </si>
  <si>
    <t>TH19</t>
  </si>
  <si>
    <t>Uso incorrecto de dispositivos</t>
  </si>
  <si>
    <t>TH20</t>
  </si>
  <si>
    <t>Dañar dispositivos o medios</t>
  </si>
  <si>
    <t>TH21</t>
  </si>
  <si>
    <t>Copia fraudulenta de software y/o proyecto</t>
  </si>
  <si>
    <t>TH22</t>
  </si>
  <si>
    <t xml:space="preserve">Uso de software falsificado o copiado </t>
  </si>
  <si>
    <t>TH23</t>
  </si>
  <si>
    <t xml:space="preserve">Corrupción de datos </t>
  </si>
  <si>
    <t>TH24</t>
  </si>
  <si>
    <t xml:space="preserve">Procesamiento ilegal de datos </t>
  </si>
  <si>
    <t>TH25</t>
  </si>
  <si>
    <t>Envío o distribución de malware</t>
  </si>
  <si>
    <t>TH26</t>
  </si>
  <si>
    <t xml:space="preserve">Detección de posición </t>
  </si>
  <si>
    <t>TC01</t>
  </si>
  <si>
    <t xml:space="preserve">Error en uso </t>
  </si>
  <si>
    <t>Compromiso de funciones</t>
  </si>
  <si>
    <t>TC02</t>
  </si>
  <si>
    <t>Abuso de derechos o permisos</t>
  </si>
  <si>
    <t>TC03</t>
  </si>
  <si>
    <t>Falsificación de derechos o permisos</t>
  </si>
  <si>
    <t>TC04</t>
  </si>
  <si>
    <t xml:space="preserve">Negación de acciones </t>
  </si>
  <si>
    <t>TO01</t>
  </si>
  <si>
    <t>Falta de personal</t>
  </si>
  <si>
    <t>Amenazas organizacionales</t>
  </si>
  <si>
    <t>A, E</t>
  </si>
  <si>
    <t>TO02</t>
  </si>
  <si>
    <t>Falta de recursos</t>
  </si>
  <si>
    <t>TO03</t>
  </si>
  <si>
    <t>Incumplimiento de los proveedores de servicios</t>
  </si>
  <si>
    <t>TO04</t>
  </si>
  <si>
    <t>Violación de leyes o reglamentos</t>
  </si>
  <si>
    <t>Cambios en las directivas de seguridad del proveedor</t>
  </si>
  <si>
    <t xml:space="preserve">Mal funcionamiento de equipo </t>
  </si>
  <si>
    <t>Fallas en el momento del despliegue</t>
  </si>
  <si>
    <t>Interrupción en el servicio</t>
  </si>
  <si>
    <t>Error en la generación de las copias de seguridad (backup completo, carpetas onedrive, archivos del contenedor)</t>
  </si>
  <si>
    <t>Perder autorización como PSE y OSE</t>
  </si>
  <si>
    <t>Lentitud o inestabilidad en la operación del ERP</t>
  </si>
  <si>
    <t>Solicitides bloquedas por el firewall de aplicaciones</t>
  </si>
  <si>
    <t>Multas/Sanciones</t>
  </si>
  <si>
    <t>F. Motivación / Estado final deseado (DES) — solo para origen deliberado</t>
  </si>
  <si>
    <t>Motivación</t>
  </si>
  <si>
    <t>Conquistar</t>
  </si>
  <si>
    <t>Captura a largo plazo de recursos o mercados económicos, ganar poder político o imponer valores.</t>
  </si>
  <si>
    <t>Adquirir</t>
  </si>
  <si>
    <t>Enfoque depredador, ofensivo, impulsado por la captura de recursos o beneficios.</t>
  </si>
  <si>
    <t>Prevenir</t>
  </si>
  <si>
    <t>Enfoque ofensivo para limitar las acciones de un tercero.</t>
  </si>
  <si>
    <t>Mantener</t>
  </si>
  <si>
    <t>Esfuerzos para mantener una situación ideológica, política, económica o social.</t>
  </si>
  <si>
    <t>Defender</t>
  </si>
  <si>
    <t>Postura defensiva o amenazante para evitar el comportamiento agresivo de un oponente.</t>
  </si>
  <si>
    <t>Sobrevivir</t>
  </si>
  <si>
    <t>Proteger una entidad a toda costa, lo que puede llevar a acciones extremadamente agresivas.</t>
  </si>
  <si>
    <t>G. Objetivo meta del actor (referencia)</t>
  </si>
  <si>
    <t>Objetivo</t>
  </si>
  <si>
    <t>Espionaje</t>
  </si>
  <si>
    <t>Operación de inteligencia (estatal, económica).</t>
  </si>
  <si>
    <t>Pre-posicionamiento estratégico</t>
  </si>
  <si>
    <t>Ataque a largo plazo sin objetivo final claramente establecido.</t>
  </si>
  <si>
    <t>Influencia</t>
  </si>
  <si>
    <t>Difundir información falsa, destruir reputaciones, revelar información confidencial.</t>
  </si>
  <si>
    <t>Obstáculo para el funcionamiento</t>
  </si>
  <si>
    <t>Sabotaje: indisponibilidad de un sitio, recurso digital o instalación física.</t>
  </si>
  <si>
    <t>Lucrativo</t>
  </si>
  <si>
    <t>Obtener un beneficio económico, directo o indirecto.</t>
  </si>
  <si>
    <t>Desafío, diversión</t>
  </si>
  <si>
    <t>Cumplir una hazaña con fines de reconocimiento social o diversión.</t>
  </si>
  <si>
    <t>H. Escala de Consecuencia</t>
  </si>
  <si>
    <t>Nivel</t>
  </si>
  <si>
    <t>Criterio orientativo (impacto operativo / económico / legal / reputacional)</t>
  </si>
  <si>
    <t>1 - Menor</t>
  </si>
  <si>
    <t>Impacto mínimo, sin afectación perceptible al cliente ni a la operación; sin costo relevante.</t>
  </si>
  <si>
    <t>2 - Significativo</t>
  </si>
  <si>
    <t>Afecta a un proceso puntual o pocos clientes; se resuelve con recursos internos habituales; costo bajo.</t>
  </si>
  <si>
    <t>3 - Serio</t>
  </si>
  <si>
    <t>Afecta la operación de un proceso o a varios clientes; requiere intervención priorizada; costo moderado; posible reclamo formal.</t>
  </si>
  <si>
    <t>4 - Crítico</t>
  </si>
  <si>
    <t>Interrumpe un proceso crítico (PSE/OSE) o la relación con clientes/reguladores; pérdida económica relevante; posible sanción o incumplimiento normativo.</t>
  </si>
  <si>
    <t>5 - Catastrófico</t>
  </si>
  <si>
    <t>Pone en riesgo la continuidad del negocio, la relación con SUNAT/reguladores o la viabilidad legal de la empresa; pérdida económica mayor o irreversible.</t>
  </si>
  <si>
    <t>I. Escala de Probabilidad</t>
  </si>
  <si>
    <t>Criterio orientativo (frecuencia esperada)</t>
  </si>
  <si>
    <t>1 - Improbable</t>
  </si>
  <si>
    <t>Podría ocurrir solo en circunstancias excepcionales (referencia: una vez cada 3 años o más).</t>
  </si>
  <si>
    <t>2 – Bastante improbable</t>
  </si>
  <si>
    <t>Podría ocurrir en algún momento (referencia: una vez cada 1-3 años).</t>
  </si>
  <si>
    <t>3 - Probable</t>
  </si>
  <si>
    <t>Se espera que ocurra en algún momento (referencia: una o varias veces al año).</t>
  </si>
  <si>
    <t>4 – Muy probable</t>
  </si>
  <si>
    <t>Se espera que ocurra en la mayoría de las circunstancias (referencia: mensual o más frecuente).</t>
  </si>
  <si>
    <t>J. Matriz de Nivel de riesgo (Probabilidad × Consecuencia)</t>
  </si>
  <si>
    <t>Consecuencia →</t>
  </si>
  <si>
    <t>Probabilidad ↓</t>
  </si>
  <si>
    <t>Muy bajo</t>
  </si>
  <si>
    <t>Bajo</t>
  </si>
  <si>
    <t>Medio</t>
  </si>
  <si>
    <t>Alto</t>
  </si>
  <si>
    <t>Muy alto</t>
  </si>
  <si>
    <t>K. Propietarios de riesgo (roles)</t>
  </si>
  <si>
    <t>Rol</t>
  </si>
  <si>
    <t>Gerente general</t>
  </si>
  <si>
    <t>Jefe de Producción</t>
  </si>
  <si>
    <t>Jefe de Desarrollo</t>
  </si>
  <si>
    <t>Jefe de Consultoría</t>
  </si>
  <si>
    <t>Jefe de Ventas</t>
  </si>
  <si>
    <t>Jefe de Ingeniería de Soporte</t>
  </si>
  <si>
    <t>Jefe de Control de calidad</t>
  </si>
  <si>
    <t>Jefe de Help Desk</t>
  </si>
  <si>
    <t>Responsable de Consultoría</t>
  </si>
  <si>
    <t>Oficial de Seguridad de la información</t>
  </si>
  <si>
    <t>Supervisor de Seguridad y Salud en el Trabajo</t>
  </si>
  <si>
    <t>Ingeniero I+D</t>
  </si>
  <si>
    <t>Asistente de Producción</t>
  </si>
  <si>
    <t>Ingeniero de Soporte</t>
  </si>
  <si>
    <t>Asistente Administrativo</t>
  </si>
  <si>
    <t>Analista de Help Desk</t>
  </si>
  <si>
    <t>Desarrollador</t>
  </si>
  <si>
    <t>Desarrollador OSE</t>
  </si>
  <si>
    <t>Analista QA</t>
  </si>
  <si>
    <t>Consultor Senior</t>
  </si>
  <si>
    <t>Asistente de Ventas</t>
  </si>
  <si>
    <t>Operador OSE</t>
  </si>
  <si>
    <t>Responsable de plataforma OSE</t>
  </si>
  <si>
    <t>Jefe de Soporte al cliente</t>
  </si>
  <si>
    <t>L. Opciones de tratamiento (referencia)</t>
  </si>
  <si>
    <t>Opción</t>
  </si>
  <si>
    <t>1. Elección de controles</t>
  </si>
  <si>
    <t>2. Transferencia de riesgos a terceros</t>
  </si>
  <si>
    <t>3. Evitar el riesgo</t>
  </si>
  <si>
    <t>4. Aceptación del riesgo</t>
  </si>
  <si>
    <t>M. Estado del riesgo</t>
  </si>
  <si>
    <t>Estado</t>
  </si>
  <si>
    <t>Identificado</t>
  </si>
  <si>
    <t>En evaluación</t>
  </si>
  <si>
    <t>En tratamiento</t>
  </si>
  <si>
    <t>Mitigado / Cerrado</t>
  </si>
  <si>
    <t>Aceptado</t>
  </si>
  <si>
    <t>Matriz de Identificación y Valoración de Riesgos — SiempreSoft (enfoque basado en eventos)</t>
  </si>
  <si>
    <t>DOCUMENTO PARA: SGSI  ·  ÁREA: SEGURIDAD DE LA INFORMACIÓN  ·  NIVEL DE CONFIDENCIALIDAD: USO INTERNO  ·  El tratamiento de riesgos se gestiona en la hoja "Tratamiento de riesgos" (vinculada por ID)</t>
  </si>
  <si>
    <t>Identificación del riesgo</t>
  </si>
  <si>
    <t>Evaluación del riesgo</t>
  </si>
  <si>
    <t>Seguimiento</t>
  </si>
  <si>
    <t>ID</t>
  </si>
  <si>
    <t>Origen del riesgo</t>
  </si>
  <si>
    <t>Categoría de riesgo</t>
  </si>
  <si>
    <t>Fuente de riesgo (causa u origen específico)</t>
  </si>
  <si>
    <t>Evento</t>
  </si>
  <si>
    <t>Estado final deseado / Motivación (DES)
(solo si el origen es deliberado)</t>
  </si>
  <si>
    <t>Escenario estratégico</t>
  </si>
  <si>
    <t>Consecuencia</t>
  </si>
  <si>
    <t>Probabilidad</t>
  </si>
  <si>
    <t>Nivel de riesgo</t>
  </si>
  <si>
    <t>Controles existentes</t>
  </si>
  <si>
    <t>Propietario del riesgo</t>
  </si>
  <si>
    <t>¿Tiene tratamiento
asignado?</t>
  </si>
  <si>
    <t>Estado del registro</t>
  </si>
  <si>
    <t>R01</t>
  </si>
  <si>
    <t>Ambos</t>
  </si>
  <si>
    <t>Organización criminal</t>
  </si>
  <si>
    <t>Divulgación de la información</t>
  </si>
  <si>
    <t>Obtener beneficios económicos</t>
  </si>
  <si>
    <t xml:space="preserve">Extorsión </t>
  </si>
  <si>
    <t>Política de control de accesos, Procedimiento para trabajo en áreas seguras, Política de claves</t>
  </si>
  <si>
    <t>R02</t>
  </si>
  <si>
    <t>Facturación electrónica PSE</t>
  </si>
  <si>
    <t>Competidor desleal</t>
  </si>
  <si>
    <t>Venta del servicio/sistema en competencia bajo costo (ERP)</t>
  </si>
  <si>
    <t>Obtener monopolio de mercado</t>
  </si>
  <si>
    <t>Eliminación de competidores</t>
  </si>
  <si>
    <t>R03</t>
  </si>
  <si>
    <t>Cliente descontento</t>
  </si>
  <si>
    <t>Mal trato al servicio de soporte / Quejas exageradas y constantes</t>
  </si>
  <si>
    <t>Anular el contrato</t>
  </si>
  <si>
    <t>Mala reputación</t>
  </si>
  <si>
    <t>Procedimiento de atención al cliente</t>
  </si>
  <si>
    <t>R04</t>
  </si>
  <si>
    <t>Estafador</t>
  </si>
  <si>
    <t>Correos spam / Facturas falsas / Enlaces suplantados o clonados</t>
  </si>
  <si>
    <t>Pérdida económica</t>
  </si>
  <si>
    <t>R05</t>
  </si>
  <si>
    <t>Ataque a los servicios/web con WAF</t>
  </si>
  <si>
    <t>Ataque por saturación de CPU</t>
  </si>
  <si>
    <t>Adquirir un vector de ataque</t>
  </si>
  <si>
    <t>Denegación de los servicios Autenticación/OSE</t>
  </si>
  <si>
    <t>Procedimientos operativos de TI y de la comunicación, Directivas WAF, Revisión de monitor de azure</t>
  </si>
  <si>
    <t>R06</t>
  </si>
  <si>
    <t>Accidental - técnico (falla de sistema/infraestructura)</t>
  </si>
  <si>
    <t>Acceso a los servicios sin WAF (ERP)</t>
  </si>
  <si>
    <t>Falta de autenticación de doble factor (token de autenticación)</t>
  </si>
  <si>
    <t>Acceder al sistema en el ambiente del cliente</t>
  </si>
  <si>
    <t>Accesos no autorizado</t>
  </si>
  <si>
    <t>R07</t>
  </si>
  <si>
    <t>Fenómenos climáticos</t>
  </si>
  <si>
    <t>Inundación en zonas expuestas</t>
  </si>
  <si>
    <t>Indisponibilidad del personal</t>
  </si>
  <si>
    <t>Lluvias intensas</t>
  </si>
  <si>
    <t>Planes de recuperación ante desastre</t>
  </si>
  <si>
    <t>R08</t>
  </si>
  <si>
    <t>Descarga electrica</t>
  </si>
  <si>
    <t>Indisponibilidad de energía/red</t>
  </si>
  <si>
    <t>Corte de energía/red prolongado</t>
  </si>
  <si>
    <t>R09</t>
  </si>
  <si>
    <t>Centro de datos en azure</t>
  </si>
  <si>
    <t>Problemas que afectan los productos y servicios críticos del ERP y OSE</t>
  </si>
  <si>
    <t>Indisponibilidad en la infraestructura tecnológica</t>
  </si>
  <si>
    <t>Caída en los recursos de azure</t>
  </si>
  <si>
    <t>Plan de recuperación ante desastre</t>
  </si>
  <si>
    <t>R10</t>
  </si>
  <si>
    <t>Productos externos sin soporte en linea</t>
  </si>
  <si>
    <t>Mensajes de error / Interrupción del software</t>
  </si>
  <si>
    <t>No afectarse economicamente / Desinterés</t>
  </si>
  <si>
    <t>Paralización en la cadena de suministros de las TIC</t>
  </si>
  <si>
    <t>Política de gestión de cambios</t>
  </si>
  <si>
    <t>R11</t>
  </si>
  <si>
    <t>Excepciones no controladas en el OSE</t>
  </si>
  <si>
    <t>No devuelve CDR/acuse de recibo</t>
  </si>
  <si>
    <t>Indisponibilidad del servicio</t>
  </si>
  <si>
    <t>Caída del servicio de SUNAT</t>
  </si>
  <si>
    <t>Procedimiento (SEE - OSE) para la validación de comprobantes</t>
  </si>
  <si>
    <t>R12</t>
  </si>
  <si>
    <t>No devuelve CDR</t>
  </si>
  <si>
    <t>Caída del servicio OSE SIEMPRESOFT</t>
  </si>
  <si>
    <t>R13</t>
  </si>
  <si>
    <t>Trabajadores no concientizados</t>
  </si>
  <si>
    <t>Daño/infeccción el equipo móvil o cómputo</t>
  </si>
  <si>
    <t>No adoptar conductas de seguridad</t>
  </si>
  <si>
    <t>Indisponibilidad de los equipos de computo (robo, virus, daño)</t>
  </si>
  <si>
    <t>Plan de capacitación y concienciación anual, Configuración endpoint</t>
  </si>
  <si>
    <t>R14</t>
  </si>
  <si>
    <t>Exponer datos personales/comprobantes electrónicos de los clientes</t>
  </si>
  <si>
    <t>Violación a la identidad/privacidad</t>
  </si>
  <si>
    <t>Mal uso de los datos personales/Reserva tributaria</t>
  </si>
  <si>
    <t>Plan de capacitación y concienciación anual</t>
  </si>
  <si>
    <t>R15</t>
  </si>
  <si>
    <t>Descarga electrica, golpe severo, corte con vidrio</t>
  </si>
  <si>
    <t>Daño corporal</t>
  </si>
  <si>
    <t>Accidente de trabajo</t>
  </si>
  <si>
    <t>Capacitación en seguridad y salud en el trabajo</t>
  </si>
  <si>
    <t>Servicio de SST</t>
  </si>
  <si>
    <t>R16</t>
  </si>
  <si>
    <t>Falta de revisiones periódicas</t>
  </si>
  <si>
    <t>Bloqueo directivas WAF, espacio de disco lleno, consumo de cpu del VM, caída de servicio IIS</t>
  </si>
  <si>
    <t>Interrupción del sistema/servicio</t>
  </si>
  <si>
    <t>Fallas y bloqueos en el sistema/servicio</t>
  </si>
  <si>
    <t>Procedimientos operativos de TI y de la comunicación, Revisión del servidor VM y monitor de azure</t>
  </si>
  <si>
    <t>R17</t>
  </si>
  <si>
    <t>Antiguedad del App services</t>
  </si>
  <si>
    <t>Aplicativos web no tienen la última versión del catcha</t>
  </si>
  <si>
    <t>R18</t>
  </si>
  <si>
    <t>Usuarios con privilegios elevados</t>
  </si>
  <si>
    <t>Eliminación/modificación de informacion sensible</t>
  </si>
  <si>
    <t>Pérdida irrecuperable de la información</t>
  </si>
  <si>
    <t>Mal uso de los derechos</t>
  </si>
  <si>
    <t>Política de control de accesos</t>
  </si>
  <si>
    <t>R19</t>
  </si>
  <si>
    <t>Infraestructura como servicio</t>
  </si>
  <si>
    <t>Interrupción de los servicios (servidores virtuales, red)</t>
  </si>
  <si>
    <t>Incumplimiento del SLA</t>
  </si>
  <si>
    <t>Procedimiento para el análisis de requerimiento</t>
  </si>
  <si>
    <t>R20</t>
  </si>
  <si>
    <t>Recomendaciones limitadas</t>
  </si>
  <si>
    <t>Recomendaciones muy restrictivas, riesgo en la implementación</t>
  </si>
  <si>
    <t>Exposición a vulnerabilidades</t>
  </si>
  <si>
    <t>No lograr la puntuación de seguridad en los puntos de conexión</t>
  </si>
  <si>
    <t>Reunión con la alta dirección</t>
  </si>
  <si>
    <t>R21</t>
  </si>
  <si>
    <t>Recomendaciones muy costosas/restrictivas, riesgo en la implementación</t>
  </si>
  <si>
    <t>No lograr la puntuación de seguridad en los recursos de la nube</t>
  </si>
  <si>
    <t>R22</t>
  </si>
  <si>
    <t>Incumplimiento normativo como PSE</t>
  </si>
  <si>
    <t>Incumplimiento de las obligaciones de la RS 199-2015/SUNAT</t>
  </si>
  <si>
    <t>Incumplimiento de los OSI</t>
  </si>
  <si>
    <t>Multas o Sanciones</t>
  </si>
  <si>
    <t>Revisón de auditoría interna</t>
  </si>
  <si>
    <t>R23</t>
  </si>
  <si>
    <t>Incumplimiento normativo como OSE</t>
  </si>
  <si>
    <t>Incumplimiento de las obligaciones de la RS 117-2017/SUNAT</t>
  </si>
  <si>
    <t>R24</t>
  </si>
  <si>
    <t>Conocimiento centralizado en una persona</t>
  </si>
  <si>
    <t>No existe procedimientos e instructivos documentados del proceso</t>
  </si>
  <si>
    <t>Superar el tiempo de recuperación objetivo - ROT</t>
  </si>
  <si>
    <t>No se puede activar el plan de recuperación ante desastre en la plataforma</t>
  </si>
  <si>
    <t>Manuales OSE
Capacitación en CosmosDB</t>
  </si>
  <si>
    <t>R25</t>
  </si>
  <si>
    <t>No existe reemplazo del Desarrollador OSE</t>
  </si>
  <si>
    <t>Retraso o error en la validación/envío de comprobantes electrónicos</t>
  </si>
  <si>
    <t>Defectos, fallas o errores en el servicio OSE y sus componentes principales</t>
  </si>
  <si>
    <t>R26</t>
  </si>
  <si>
    <t>ERP sin interfaz web</t>
  </si>
  <si>
    <t>Dependencia del instalador de escritorio</t>
  </si>
  <si>
    <t>Clientes insatisfechos</t>
  </si>
  <si>
    <t>Pérdida de clientes</t>
  </si>
  <si>
    <t>R27</t>
  </si>
  <si>
    <t>Falta de reportería/análsis de datos</t>
  </si>
  <si>
    <t>Reportes incompletos</t>
  </si>
  <si>
    <t>R28</t>
  </si>
  <si>
    <t>HSM de Keyvault</t>
  </si>
  <si>
    <t>Servicio no cuenta con los dos estándares de cumplimiento</t>
  </si>
  <si>
    <t>Adquirir el servicio en otra nube mas costosa</t>
  </si>
  <si>
    <t>Keyvault</t>
  </si>
  <si>
    <t>R29</t>
  </si>
  <si>
    <t>Errores del sistema/humanos</t>
  </si>
  <si>
    <t>Superar el 5% de comprobantes electrónicos rechazados</t>
  </si>
  <si>
    <t>No se puede ejercer la actividad de facturación electrónica en el sistema SIEMPRESOFT ERP</t>
  </si>
  <si>
    <t>Plan de acción de OSI</t>
  </si>
  <si>
    <t>R30</t>
  </si>
  <si>
    <t>Recursos en la nube</t>
  </si>
  <si>
    <t>Denegación de servicio / Divulgación de la información</t>
  </si>
  <si>
    <t>Ataque cibernético</t>
  </si>
  <si>
    <t>Procedimientos operativos de TI y de la comunicación, Recomendaciones de seguridad</t>
  </si>
  <si>
    <t>R31</t>
  </si>
  <si>
    <t>SignalR</t>
  </si>
  <si>
    <t>No existe autenticación en conexiones</t>
  </si>
  <si>
    <t>Acceso no autorizado</t>
  </si>
  <si>
    <t>Control de acceso</t>
  </si>
  <si>
    <t>R32</t>
  </si>
  <si>
    <t>Servidor virtual</t>
  </si>
  <si>
    <t>No hay protección DDOS en capa 7 en el ERP</t>
  </si>
  <si>
    <t>Ataque de Denegación de servicios</t>
  </si>
  <si>
    <t>Reglas de firewall</t>
  </si>
  <si>
    <t>R33</t>
  </si>
  <si>
    <t xml:space="preserve">Servicio - Visor web </t>
  </si>
  <si>
    <t>No controla las licencias en el lado del cliente</t>
  </si>
  <si>
    <t>R34</t>
  </si>
  <si>
    <t>Sistema SIEMPRESOFT ERP (.exe)</t>
  </si>
  <si>
    <t>No se encuentra ofuscado</t>
  </si>
  <si>
    <t>Copia fraudulenta del proyecto (código fuente)</t>
  </si>
  <si>
    <t>R35</t>
  </si>
  <si>
    <t>Nombre del ambiente en el ERP</t>
  </si>
  <si>
    <t>Coincide con el nombre de la base de datos en Producción</t>
  </si>
  <si>
    <t>Ataque a la base de datos</t>
  </si>
  <si>
    <t>R36</t>
  </si>
  <si>
    <t>Dispositivos de punto final</t>
  </si>
  <si>
    <t xml:space="preserve">Sin licencia original del SO Windows </t>
  </si>
  <si>
    <t>Riesgo de infectarse de Botnet</t>
  </si>
  <si>
    <t>Política para los dispositivos BYOD</t>
  </si>
  <si>
    <t>R37</t>
  </si>
  <si>
    <t>Acceso de doble factor (único factor)</t>
  </si>
  <si>
    <t>Ataque de SIM Swapping</t>
  </si>
  <si>
    <t>Robo de identidad</t>
  </si>
  <si>
    <t>Política de uso aceptable</t>
  </si>
  <si>
    <t>R38</t>
  </si>
  <si>
    <t>Llamadas por teléfono a los trabajadorees de Siempresoft</t>
  </si>
  <si>
    <t>Ataque con inteligencia artificial</t>
  </si>
  <si>
    <t>R39</t>
  </si>
  <si>
    <t>Trabajadores desmotivados</t>
  </si>
  <si>
    <t>Falta de motivación para la retención del talento humano</t>
  </si>
  <si>
    <t>Renuncia del personal</t>
  </si>
  <si>
    <t>Pérdida del talento humano</t>
  </si>
  <si>
    <t>-</t>
  </si>
  <si>
    <t>R40</t>
  </si>
  <si>
    <t>Performance del SQL Server</t>
  </si>
  <si>
    <t>Crecimiento de las bases de datos (archivos LOG, indices fragmentados)</t>
  </si>
  <si>
    <t>Consumo de recursos (CPU y memoria)</t>
  </si>
  <si>
    <t>Lentitud en las bases de datos</t>
  </si>
  <si>
    <t>Revisiones manuales por AP</t>
  </si>
  <si>
    <t>R41</t>
  </si>
  <si>
    <t>Limitada capacidad operativa, falta de equipo especializado</t>
  </si>
  <si>
    <t>Falta de busqueda de mercados</t>
  </si>
  <si>
    <t>Perdida económica</t>
  </si>
  <si>
    <t>R42</t>
  </si>
  <si>
    <t>Procesos manuales</t>
  </si>
  <si>
    <t>Error de conteo en la facturación al cliente</t>
  </si>
  <si>
    <t>Conteos manuales del Operador OSE</t>
  </si>
  <si>
    <t>R43</t>
  </si>
  <si>
    <t>ERP Paas sin Telemetría</t>
  </si>
  <si>
    <t>Servicios del erp sin registros de telemetría</t>
  </si>
  <si>
    <t>Limitaciones técnicas en el software ERP</t>
  </si>
  <si>
    <t>R44</t>
  </si>
  <si>
    <t>Limitaciones del sistema de validación de comprobantes</t>
  </si>
  <si>
    <t>Cpe rechazados por SUNAT</t>
  </si>
  <si>
    <t>Validación incorrecta o incompleta de comprobantes electrónicos</t>
  </si>
  <si>
    <t>R45</t>
  </si>
  <si>
    <t>Falta de monitoreo en reportería</t>
  </si>
  <si>
    <t>No hay verificación periódica del estado de los comprobantes rechazados.</t>
  </si>
  <si>
    <t>Multas o sanciones</t>
  </si>
  <si>
    <t>Revisiones manuales por Desarrollador OSE</t>
  </si>
  <si>
    <t>R46</t>
  </si>
  <si>
    <t>Pruebas unitarias OSE</t>
  </si>
  <si>
    <t>Incumplimiento en la comprobación informática (reglas de validación no indicadas)</t>
  </si>
  <si>
    <t>R47</t>
  </si>
  <si>
    <t>Falta de automatización en la web de soporte para el cierre de las solicitudes</t>
  </si>
  <si>
    <t>Retrasos en el cierre de tickets o solicitudes de soporte</t>
  </si>
  <si>
    <t>R48</t>
  </si>
  <si>
    <t>Ausencia de pruebas en entorno de staging</t>
  </si>
  <si>
    <t>Fallos por falta de pruebas en entorno real del ERP</t>
  </si>
  <si>
    <t>Quejas de clientes al área de soporte al cliente</t>
  </si>
  <si>
    <t>Recursos para pruebas de QA</t>
  </si>
  <si>
    <t>R49</t>
  </si>
  <si>
    <t>Clientes con comportamiento agresivo</t>
  </si>
  <si>
    <t>Niveles de estrés en el área de atención al cliente</t>
  </si>
  <si>
    <t>Capacitación en atención al cliente
Beneficios laborales para fidelizar el talento humano</t>
  </si>
  <si>
    <t>R50</t>
  </si>
  <si>
    <t>Debilidad en análisis crediticio</t>
  </si>
  <si>
    <t>Evaluación deficiente de la capacidad de pago del cliente</t>
  </si>
  <si>
    <t>R51</t>
  </si>
  <si>
    <t>Credenciales de api key</t>
  </si>
  <si>
    <t>Exposición de credenciales</t>
  </si>
  <si>
    <t>Fuga de información</t>
  </si>
  <si>
    <t>4 - Serio</t>
  </si>
  <si>
    <t>4 - Probable</t>
  </si>
  <si>
    <t>Rotaciones automáticas
Programa que cifra tag que contiene las credenciales</t>
  </si>
  <si>
    <t>R52</t>
  </si>
  <si>
    <t>Migración del código fuente a Net standard</t>
  </si>
  <si>
    <t>Errores y/o excepciones en los módulos criticos del ERP</t>
  </si>
  <si>
    <t>R53</t>
  </si>
  <si>
    <t>Guias de remisión</t>
  </si>
  <si>
    <t>Comprobantes rechazados</t>
  </si>
  <si>
    <t>R54</t>
  </si>
  <si>
    <t>Exposición del Código fuente, consultas SQL</t>
  </si>
  <si>
    <t>Depuración de código fuente</t>
  </si>
  <si>
    <t>Uso de IA públicas</t>
  </si>
  <si>
    <t>R55</t>
  </si>
  <si>
    <t>Demora en la identificación y solución del incidente</t>
  </si>
  <si>
    <t>Actualizacion de nueva version de sistema operativo</t>
  </si>
  <si>
    <t>Indisponibilidad de acceso por escritorio remoto a VM</t>
  </si>
  <si>
    <t>R56</t>
  </si>
  <si>
    <t>Demora en la atención del soporte de Azure</t>
  </si>
  <si>
    <t>Cambio en las directivas de seguridad de Azure</t>
  </si>
  <si>
    <t>Indisponibilidad de acceso a las grabaciones de capacitación de cliente</t>
  </si>
  <si>
    <t>Actualización acumulativa del SO Windows Server con errores, dependencia de soluciones temporales manuales (workaround) con riesgo de error del operador y restricción de aplicar el reinicio obligatoriamente fuera del horario comercial.</t>
  </si>
  <si>
    <t>Tratamiento de Riesgos — SiempreSoft (vinculado por ID a la hoja "Matriz de riesgos")</t>
  </si>
  <si>
    <t>DOCUMENTO PARA: SGSI · ÁREA: SEGURIDAD DE LA INFORMACIÓN · NIVEL DE CONFIDENCIALIDAD: RESTRINGIDA  ·  Subsana Obs.2 de auditoría (6.1.3): pestaña propia para el tratamiento, separada de identificación/análisis/evaluación y vinculada por ID</t>
  </si>
  <si>
    <t>Vínculo con Matriz de riesgos</t>
  </si>
  <si>
    <t>Plan de tratamiento</t>
  </si>
  <si>
    <t>Riesgo residual</t>
  </si>
  <si>
    <t>Cierre</t>
  </si>
  <si>
    <t>Item</t>
  </si>
  <si>
    <t>ID del riesgo</t>
  </si>
  <si>
    <t>Proceso
(auto)</t>
  </si>
  <si>
    <t>Nivel de riesgo
(auto)</t>
  </si>
  <si>
    <t>Opción de tratamiento</t>
  </si>
  <si>
    <t>Control / actividad a implementar</t>
  </si>
  <si>
    <t>Responsable de implementación</t>
  </si>
  <si>
    <t>Plazo inicio</t>
  </si>
  <si>
    <t>Plazo fin</t>
  </si>
  <si>
    <t>Recursos requeridos</t>
  </si>
  <si>
    <t>Estado de implementación</t>
  </si>
  <si>
    <t>Consecuencia residual</t>
  </si>
  <si>
    <t>Probabilidad residual</t>
  </si>
  <si>
    <t>Nivel de riesgo
residual (auto)</t>
  </si>
  <si>
    <t>Fecha de cierre</t>
  </si>
  <si>
    <t>Observaciones</t>
  </si>
  <si>
    <t>Implementar la identificación de usuario en aplicaciones con OpenID Connect para la autenticación en el ERP</t>
  </si>
  <si>
    <t>Octubre 2024</t>
  </si>
  <si>
    <t>Julio 2025</t>
  </si>
  <si>
    <t>Humano
Tecnológico</t>
  </si>
  <si>
    <t>Pendiente</t>
  </si>
  <si>
    <t>Capacitación en las reglas WAF y revisiones periódicas de los registros y log</t>
  </si>
  <si>
    <t>Agosto 2023</t>
  </si>
  <si>
    <t>Diciembre 2023</t>
  </si>
  <si>
    <t>Humano</t>
  </si>
  <si>
    <t>Inclusión en los procedimientos operativos de TI</t>
  </si>
  <si>
    <t>Seleccionar las tareas a automatizar y asignar los roles y responsables que deben verificar el cumplimiento</t>
  </si>
  <si>
    <t>Octubre 2023</t>
  </si>
  <si>
    <t>Humano
Financiero</t>
  </si>
  <si>
    <t>Actualización de procedimientos, creación de instructivos, capacitación</t>
  </si>
  <si>
    <t>Contratar el servicio HSM en la nube e implementar en Producción</t>
  </si>
  <si>
    <t>Humano
Tecnológico
Financiero</t>
  </si>
  <si>
    <t>Implementación del API PSE</t>
  </si>
  <si>
    <t>Abril 2024</t>
  </si>
  <si>
    <t>Pruebas en el API TEST</t>
  </si>
  <si>
    <t>Cambio en código fuente</t>
  </si>
  <si>
    <t>Enero 2025</t>
  </si>
  <si>
    <t>Marzo 2025</t>
  </si>
  <si>
    <t>Elaborar propuesta a debatir
Creación de BD múltiples con esquemas</t>
  </si>
  <si>
    <t>Planificación de beneficios sociales a los colaboradores</t>
  </si>
  <si>
    <t>Agosto 2024</t>
  </si>
  <si>
    <t>- Fortalecimiento en la cultura organizacional, 
- Trabajo en equipo, 
- Sábados libres para todo el 2024
- Beneficios económicos de dividendos (trimestral)</t>
  </si>
  <si>
    <t>Configuración de proceso nocturnos en servidores virtuales</t>
  </si>
  <si>
    <t>Abril 2025</t>
  </si>
  <si>
    <t>- Crear script para reconstruir indices
- Crear tarea programada para mantenimiento de indices (notificaciones)
- Programa de consola para la regularización en la uniformidad de los índices (ambos servidores)
- Mejora en los índices (recomendaciones de portal azure y revisión de las consultas costosas del modelo hiperescala)
- Antes de ejecutar la tarea cambiar al modelo de recuperacion Simple, cuando termiene el proceso se regresa al modelo de recuperación completa.</t>
  </si>
  <si>
    <t>Reporte de comprobantes enviados por cliente ERP y PSE</t>
  </si>
  <si>
    <t>Mayo 2025</t>
  </si>
  <si>
    <t xml:space="preserve">Elaboración de reporte.
Envío de Reporte mensual al área de Administración (Operador OSE) </t>
  </si>
  <si>
    <t>Migrar la versión del Framework ASP.NET a .NET Core</t>
  </si>
  <si>
    <t>Abril 2026</t>
  </si>
  <si>
    <t>Financiero
Tecnológico
Humano</t>
  </si>
  <si>
    <t>Investigación por parte del área de Desarrollo
Migrar parte del proyecto y realizar pruebas exhaustivas</t>
  </si>
  <si>
    <t>Mejora en las validaciones del OSE</t>
  </si>
  <si>
    <t>Agosto 2025</t>
  </si>
  <si>
    <t>Capturar observaciones de SUNAT en las constancias de recepción y acuse de recibo de los documentos.</t>
  </si>
  <si>
    <t>Elaboración de reporte de comprobantes rechazados</t>
  </si>
  <si>
    <t>Elaboración de reporte.
Envío de Reporte diario al área de Soporte al cliente</t>
  </si>
  <si>
    <t>Nuevo desarrollo para pruebas unitarias en el servicio OSE</t>
  </si>
  <si>
    <t>Tecnológico
Humano</t>
  </si>
  <si>
    <t>Nuevo desarrollo en DevOps y Pipeline</t>
  </si>
  <si>
    <t>Nuevo flujo de despliegue en el ERP</t>
  </si>
  <si>
    <t>Mejora en el área de soporte al cliente</t>
  </si>
  <si>
    <t>Setiembre 2025</t>
  </si>
  <si>
    <t>Contratación de Analistas e Ingenieros de Soporte al cliente
Retomar sábados libre
Separación de área de Soporte (Help Desk y Ingeniería de Soporte al cliente)</t>
  </si>
  <si>
    <t>Creación de una web para el control de API</t>
  </si>
  <si>
    <t>Creación de una web para la administración de las API gestionadas por el área de Producción (nuevo menú en web Back Office)</t>
  </si>
  <si>
    <t>Mapa de calor de riesgos — conteo automático por Consecuencia × Probabilidad</t>
  </si>
  <si>
    <t>Se actualiza solo con COUNTIFS sobre la hoja "Matriz de riesgos". El número indica cuántos riesgos caen en esa celda.</t>
  </si>
  <si>
    <t>Leyenda de nivel de riesgo</t>
  </si>
  <si>
    <t>Totales por nivel</t>
  </si>
  <si>
    <t>Totales por categoría de riesgo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</si>
</sst>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
    </font>
    <font>
      <b/>
      <sz val="16"/>
      <color rgb="FFFFFFFF"/>
      <name val="Calibri"/>
      <family val="2"/>
    </font>
    <font>
      <b/>
      <sz val="11"/>
      <color rgb="FFFFFFFF"/>
      <name val="Calibri"/>
      <family val="2"/>
    </font>
    <font>
      <b/>
      <sz val="12"/>
      <color rgb="FF1F3864"/>
      <name val="Calibri"/>
      <family val="2"/>
    </font>
    <font>
      <sz val="10"/>
      <name val="Calibri"/>
      <family val="2"/>
    </font>
    <font>
      <b/>
      <sz val="10.5"/>
      <color rgb="FF1F3864"/>
      <name val="Calibri"/>
      <family val="2"/>
    </font>
    <font>
      <b/>
      <sz val="10"/>
      <color rgb="FF2E5395"/>
      <name val="Calibri"/>
      <family val="2"/>
    </font>
    <font>
      <i/>
      <sz val="10"/>
      <color rgb="FF808080"/>
      <name val="Calibri"/>
      <family val="2"/>
    </font>
    <font>
      <b/>
      <sz val="13"/>
      <color rgb="FF1F3864"/>
      <name val="Calibri"/>
      <family val="2"/>
    </font>
    <font>
      <b/>
      <sz val="11"/>
      <color rgb="FF2E5395"/>
      <name val="Calibri"/>
      <family val="2"/>
    </font>
    <font>
      <b/>
      <sz val="10"/>
      <color rgb="FF1F3864"/>
      <name val="Calibri"/>
      <family val="2"/>
    </font>
    <font>
      <b/>
      <sz val="10"/>
      <name val="Calibri"/>
      <family val="2"/>
    </font>
    <font>
      <b/>
      <sz val="13"/>
      <color rgb="FFFFFFFF"/>
      <name val="Calibri"/>
      <family val="2"/>
    </font>
    <font>
      <i/>
      <sz val="9"/>
      <color rgb="FF595959"/>
      <name val="Calibri"/>
      <family val="2"/>
    </font>
    <font>
      <b/>
      <sz val="10"/>
      <color rgb="FFFFFFFF"/>
      <name val="Calibri"/>
      <family val="2"/>
    </font>
    <font>
      <b/>
      <sz val="9.5"/>
      <color rgb="FFFFFFFF"/>
      <name val="Calibri"/>
      <family val="2"/>
    </font>
    <font>
      <b/>
      <sz val="14"/>
      <name val="Calibri"/>
      <family val="2"/>
    </font>
    <font>
      <b/>
      <sz val="11"/>
      <name val="Calibri"/>
      <family val="2"/>
    </font>
  </fonts>
  <fills count="11">
    <fill>
      <patternFill patternType="none"/>
    </fill>
    <fill>
      <patternFill patternType="gray125"/>
    </fill>
    <fill>
      <patternFill patternType="solid">
        <fgColor rgb="FF1F3864"/>
        <bgColor rgb="FF333333"/>
      </patternFill>
    </fill>
    <fill>
      <patternFill patternType="solid">
        <fgColor rgb="FF2E5395"/>
        <bgColor rgb="FF1F3864"/>
      </patternFill>
    </fill>
    <fill>
      <patternFill patternType="solid">
        <fgColor rgb="FFDCE6F1"/>
        <bgColor rgb="FFC6EFCE"/>
      </patternFill>
    </fill>
    <fill>
      <patternFill patternType="solid">
        <fgColor rgb="FFFFF2CC"/>
        <bgColor rgb="FFFFE699"/>
      </patternFill>
    </fill>
    <fill>
      <patternFill patternType="solid">
        <fgColor rgb="FF9DC3E6"/>
        <bgColor rgb="FFBFBFBF"/>
      </patternFill>
    </fill>
    <fill>
      <patternFill patternType="solid">
        <fgColor rgb="FFA9D18E"/>
        <bgColor rgb="FFBFBFBF"/>
      </patternFill>
    </fill>
    <fill>
      <patternFill patternType="solid">
        <fgColor rgb="FFFFE699"/>
        <bgColor rgb="FFFFF2CC"/>
      </patternFill>
    </fill>
    <fill>
      <patternFill patternType="solid">
        <fgColor rgb="FFF4B183"/>
        <bgColor rgb="FFFFCFCF"/>
      </patternFill>
    </fill>
    <fill>
      <patternFill patternType="solid">
        <fgColor rgb="FFFF7C80"/>
        <bgColor rgb="FFF4B183"/>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s>
  <cellStyleXfs count="1">
    <xf numFmtId="0" fontId="0" fillId="0" borderId="0"/>
  </cellStyleXfs>
  <cellXfs count="58">
    <xf numFmtId="0" fontId="0" fillId="0" borderId="0" xfId="0"/>
    <xf numFmtId="0" fontId="7" fillId="0" borderId="0" xfId="0" applyFont="1"/>
    <xf numFmtId="0" fontId="4" fillId="0" borderId="0" xfId="0" applyFont="1" applyAlignment="1">
      <alignment vertical="top" wrapText="1"/>
    </xf>
    <xf numFmtId="0" fontId="6" fillId="0" borderId="0" xfId="0" applyFont="1"/>
    <xf numFmtId="0" fontId="0" fillId="5" borderId="1" xfId="0" applyFill="1" applyBorder="1"/>
    <xf numFmtId="0" fontId="0" fillId="4" borderId="1" xfId="0" applyFill="1" applyBorder="1"/>
    <xf numFmtId="0" fontId="8" fillId="0" borderId="0" xfId="0" applyFont="1"/>
    <xf numFmtId="0" fontId="9" fillId="0" borderId="0" xfId="0" applyFont="1"/>
    <xf numFmtId="0" fontId="2" fillId="2" borderId="1" xfId="0" applyFont="1" applyFill="1" applyBorder="1" applyAlignment="1">
      <alignment horizontal="left" vertical="center" wrapText="1" indent="1"/>
    </xf>
    <xf numFmtId="0" fontId="4" fillId="0" borderId="1" xfId="0" applyFont="1" applyBorder="1" applyAlignment="1">
      <alignment vertical="top"/>
    </xf>
    <xf numFmtId="0" fontId="4" fillId="0" borderId="1" xfId="0" applyFont="1" applyBorder="1" applyAlignment="1">
      <alignment vertical="top" wrapText="1"/>
    </xf>
    <xf numFmtId="0" fontId="4" fillId="5" borderId="1" xfId="0" applyFont="1" applyFill="1" applyBorder="1" applyAlignment="1">
      <alignment vertical="top"/>
    </xf>
    <xf numFmtId="0" fontId="4" fillId="5" borderId="1" xfId="0" applyFont="1" applyFill="1" applyBorder="1" applyAlignment="1">
      <alignment vertical="top" wrapText="1"/>
    </xf>
    <xf numFmtId="0" fontId="10" fillId="0" borderId="0" xfId="0" applyFont="1"/>
    <xf numFmtId="0" fontId="2" fillId="2"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0" fillId="0" borderId="1" xfId="0" applyFont="1" applyBorder="1" applyAlignment="1">
      <alignment vertical="top" wrapText="1"/>
    </xf>
    <xf numFmtId="0" fontId="7" fillId="0" borderId="1" xfId="0" applyFont="1" applyBorder="1" applyAlignment="1">
      <alignment vertical="top" wrapText="1"/>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4" fillId="4" borderId="1" xfId="0" applyFont="1" applyFill="1" applyBorder="1" applyAlignment="1">
      <alignment vertical="top" wrapText="1"/>
    </xf>
    <xf numFmtId="0" fontId="2" fillId="2" borderId="1" xfId="0" applyFont="1" applyFill="1" applyBorder="1" applyAlignment="1">
      <alignment vertical="top" wrapText="1"/>
    </xf>
    <xf numFmtId="0" fontId="16"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0" fillId="6" borderId="1" xfId="0" applyFill="1" applyBorder="1"/>
    <xf numFmtId="0" fontId="4" fillId="0" borderId="0" xfId="0" applyFont="1"/>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4" fillId="6" borderId="0" xfId="0" applyFont="1" applyFill="1"/>
    <xf numFmtId="0" fontId="17" fillId="0" borderId="0" xfId="0" applyFont="1" applyAlignment="1">
      <alignment horizontal="center"/>
    </xf>
    <xf numFmtId="0" fontId="4" fillId="7" borderId="0" xfId="0" applyFont="1" applyFill="1"/>
    <xf numFmtId="0" fontId="4" fillId="8" borderId="0" xfId="0" applyFont="1" applyFill="1"/>
    <xf numFmtId="0" fontId="4" fillId="9" borderId="0" xfId="0" applyFont="1" applyFill="1"/>
    <xf numFmtId="0" fontId="4" fillId="10" borderId="0" xfId="0" applyFont="1" applyFill="1"/>
    <xf numFmtId="0" fontId="2" fillId="2" borderId="3" xfId="0" applyFont="1" applyFill="1" applyBorder="1" applyAlignment="1">
      <alignment horizontal="left" vertical="center" wrapText="1" indent="1"/>
    </xf>
    <xf numFmtId="0" fontId="4" fillId="0" borderId="2" xfId="0" applyFont="1" applyBorder="1" applyAlignment="1">
      <alignment vertical="top"/>
    </xf>
    <xf numFmtId="0" fontId="12" fillId="2" borderId="0" xfId="0" applyFont="1" applyFill="1" applyAlignment="1">
      <alignment vertical="center" indent="1"/>
    </xf>
    <xf numFmtId="0" fontId="13" fillId="0" borderId="0" xfId="0" applyFont="1" applyAlignment="1">
      <alignment vertical="center" indent="1"/>
    </xf>
    <xf numFmtId="0" fontId="14" fillId="3" borderId="0" xfId="0" applyFont="1" applyFill="1" applyAlignment="1">
      <alignment horizontal="center" vertical="center" wrapText="1"/>
    </xf>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4" borderId="0" xfId="0" applyFont="1" applyFill="1" applyAlignment="1">
      <alignment vertical="center" indent="1"/>
    </xf>
    <xf numFmtId="0" fontId="4" fillId="0" borderId="0" xfId="0" applyFont="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7" fillId="0" borderId="0" xfId="0" applyFont="1" applyAlignment="1"/>
  </cellXfs>
  <cellStyles count="1">
    <cellStyle name="Normal" xfId="0" builtinId="0"/>
  </cellStyles>
  <dxfs count="22">
    <dxf>
      <font>
        <b/>
        <sz val="10"/>
        <name val="Calibri"/>
        <charset val="1"/>
      </font>
      <fill>
        <patternFill>
          <bgColor rgb="FFFF7C80"/>
        </patternFill>
      </fill>
    </dxf>
    <dxf>
      <font>
        <b/>
        <sz val="10"/>
        <name val="Calibri"/>
        <charset val="1"/>
      </font>
      <fill>
        <patternFill>
          <bgColor rgb="FFF4B183"/>
        </patternFill>
      </fill>
    </dxf>
    <dxf>
      <font>
        <b/>
        <sz val="10"/>
        <name val="Calibri"/>
        <charset val="1"/>
      </font>
      <fill>
        <patternFill>
          <bgColor rgb="FFFFE699"/>
        </patternFill>
      </fill>
    </dxf>
    <dxf>
      <font>
        <b/>
        <sz val="10"/>
        <name val="Calibri"/>
        <charset val="1"/>
      </font>
      <fill>
        <patternFill>
          <bgColor rgb="FFA9D18E"/>
        </patternFill>
      </fill>
    </dxf>
    <dxf>
      <font>
        <b/>
        <sz val="10"/>
        <name val="Calibri"/>
        <charset val="1"/>
      </font>
      <fill>
        <patternFill>
          <bgColor rgb="FF9DC3E6"/>
        </patternFill>
      </fill>
    </dxf>
    <dxf>
      <font>
        <sz val="9"/>
        <name val="Calibri"/>
        <charset val="1"/>
      </font>
      <fill>
        <patternFill>
          <bgColor rgb="FFDCE6F1"/>
        </patternFill>
      </fill>
    </dxf>
    <dxf>
      <font>
        <sz val="9"/>
        <name val="Calibri"/>
        <charset val="1"/>
      </font>
      <fill>
        <patternFill>
          <bgColor rgb="FFC6EFCE"/>
        </patternFill>
      </fill>
    </dxf>
    <dxf>
      <font>
        <sz val="9"/>
        <name val="Calibri"/>
        <charset val="1"/>
      </font>
      <fill>
        <patternFill>
          <bgColor rgb="FFFFE699"/>
        </patternFill>
      </fill>
    </dxf>
    <dxf>
      <font>
        <sz val="9"/>
        <name val="Calibri"/>
        <charset val="1"/>
      </font>
      <fill>
        <patternFill>
          <bgColor rgb="FFFFCFCF"/>
        </patternFill>
      </fill>
    </dxf>
    <dxf>
      <font>
        <b/>
        <sz val="10"/>
        <name val="Calibri"/>
        <charset val="1"/>
      </font>
      <fill>
        <patternFill>
          <bgColor rgb="FFFF7C80"/>
        </patternFill>
      </fill>
    </dxf>
    <dxf>
      <font>
        <b/>
        <sz val="10"/>
        <name val="Calibri"/>
        <charset val="1"/>
      </font>
      <fill>
        <patternFill>
          <bgColor rgb="FFF4B183"/>
        </patternFill>
      </fill>
    </dxf>
    <dxf>
      <font>
        <b/>
        <sz val="10"/>
        <name val="Calibri"/>
        <charset val="1"/>
      </font>
      <fill>
        <patternFill>
          <bgColor rgb="FFFFE699"/>
        </patternFill>
      </fill>
    </dxf>
    <dxf>
      <font>
        <b/>
        <sz val="10"/>
        <name val="Calibri"/>
        <charset val="1"/>
      </font>
      <fill>
        <patternFill>
          <bgColor rgb="FFA9D18E"/>
        </patternFill>
      </fill>
    </dxf>
    <dxf>
      <font>
        <b/>
        <sz val="10"/>
        <name val="Calibri"/>
        <charset val="1"/>
      </font>
      <fill>
        <patternFill>
          <bgColor rgb="FF9DC3E6"/>
        </patternFill>
      </fill>
    </dxf>
    <dxf>
      <font>
        <sz val="9"/>
        <color rgb="FF006100"/>
        <name val="Calibri"/>
        <charset val="1"/>
      </font>
      <fill>
        <patternFill>
          <bgColor rgb="FFC6EFCE"/>
        </patternFill>
      </fill>
    </dxf>
    <dxf>
      <font>
        <sz val="9"/>
        <color rgb="FF9C0006"/>
        <name val="Calibri"/>
        <charset val="1"/>
      </font>
      <fill>
        <patternFill>
          <bgColor rgb="FFFFCFCF"/>
        </patternFill>
      </fill>
    </dxf>
    <dxf>
      <font>
        <b/>
        <sz val="10"/>
        <color rgb="FF9C0006"/>
        <name val="Calibri"/>
        <charset val="1"/>
      </font>
      <fill>
        <patternFill>
          <bgColor rgb="FFFF7C80"/>
        </patternFill>
      </fill>
    </dxf>
    <dxf>
      <font>
        <b/>
        <sz val="10"/>
        <name val="Calibri"/>
        <charset val="1"/>
      </font>
      <fill>
        <patternFill>
          <bgColor rgb="FFFF7C80"/>
        </patternFill>
      </fill>
    </dxf>
    <dxf>
      <font>
        <b/>
        <sz val="10"/>
        <name val="Calibri"/>
        <charset val="1"/>
      </font>
      <fill>
        <patternFill>
          <bgColor rgb="FFF4B183"/>
        </patternFill>
      </fill>
    </dxf>
    <dxf>
      <font>
        <b/>
        <sz val="10"/>
        <name val="Calibri"/>
        <charset val="1"/>
      </font>
      <fill>
        <patternFill>
          <bgColor rgb="FFFFE699"/>
        </patternFill>
      </fill>
    </dxf>
    <dxf>
      <font>
        <b/>
        <sz val="10"/>
        <name val="Calibri"/>
        <charset val="1"/>
      </font>
      <fill>
        <patternFill>
          <bgColor rgb="FFA9D18E"/>
        </patternFill>
      </fill>
    </dxf>
    <dxf>
      <font>
        <b/>
        <sz val="10"/>
        <name val="Calibri"/>
        <charset val="1"/>
      </font>
      <fill>
        <patternFill>
          <bgColor rgb="FF9DC3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DCE6F1"/>
      <rgbColor rgb="FF660066"/>
      <rgbColor rgb="FFFF7C80"/>
      <rgbColor rgb="FF0066CC"/>
      <rgbColor rgb="FFA9D18E"/>
      <rgbColor rgb="FF000080"/>
      <rgbColor rgb="FFFF00FF"/>
      <rgbColor rgb="FFFFFF00"/>
      <rgbColor rgb="FF00FFFF"/>
      <rgbColor rgb="FF800080"/>
      <rgbColor rgb="FF800000"/>
      <rgbColor rgb="FF008080"/>
      <rgbColor rgb="FF0000FF"/>
      <rgbColor rgb="FF00CCFF"/>
      <rgbColor rgb="FFCCFFFF"/>
      <rgbColor rgb="FFC6EFCE"/>
      <rgbColor rgb="FFFFE699"/>
      <rgbColor rgb="FF9DC3E6"/>
      <rgbColor rgb="FFF4B183"/>
      <rgbColor rgb="FFCC99FF"/>
      <rgbColor rgb="FFFFCFCF"/>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6"/>
  <sheetViews>
    <sheetView showGridLines="0" zoomScaleNormal="100" workbookViewId="0"/>
  </sheetViews>
  <sheetFormatPr defaultColWidth="8.7109375" defaultRowHeight="14.45"/>
  <cols>
    <col min="1" max="1" width="3" customWidth="1"/>
    <col min="2" max="2" width="34" customWidth="1"/>
    <col min="3" max="3" width="90" customWidth="1"/>
  </cols>
  <sheetData>
    <row r="2" spans="2:3" ht="30" customHeight="1">
      <c r="B2" s="51" t="s">
        <v>0</v>
      </c>
      <c r="C2" s="51"/>
    </row>
    <row r="3" spans="2:3" ht="21.75" customHeight="1">
      <c r="B3" s="52" t="s">
        <v>1</v>
      </c>
      <c r="C3" s="52"/>
    </row>
    <row r="5" spans="2:3" ht="19.5" customHeight="1">
      <c r="B5" s="53" t="s">
        <v>2</v>
      </c>
      <c r="C5" s="53"/>
    </row>
    <row r="6" spans="2:3" ht="90" customHeight="1">
      <c r="B6" s="54" t="s">
        <v>3</v>
      </c>
      <c r="C6" s="54"/>
    </row>
    <row r="8" spans="2:3" ht="19.5" customHeight="1">
      <c r="B8" s="53" t="s">
        <v>4</v>
      </c>
      <c r="C8" s="53"/>
    </row>
    <row r="9" spans="2:3" ht="90" customHeight="1">
      <c r="B9" s="54" t="s">
        <v>5</v>
      </c>
      <c r="C9" s="54"/>
    </row>
    <row r="11" spans="2:3" ht="19.5" customHeight="1">
      <c r="B11" s="53" t="s">
        <v>6</v>
      </c>
      <c r="C11" s="53"/>
    </row>
    <row r="12" spans="2:3" ht="60" customHeight="1">
      <c r="B12" s="54" t="s">
        <v>7</v>
      </c>
      <c r="C12" s="54"/>
    </row>
    <row r="14" spans="2:3" ht="19.5" customHeight="1">
      <c r="B14" s="53" t="s">
        <v>8</v>
      </c>
      <c r="C14" s="53"/>
    </row>
    <row r="15" spans="2:3" ht="15" customHeight="1">
      <c r="B15" s="55" t="s">
        <v>9</v>
      </c>
      <c r="C15" s="55"/>
    </row>
    <row r="16" spans="2:3" ht="48" customHeight="1">
      <c r="B16" s="54" t="s">
        <v>10</v>
      </c>
      <c r="C16" s="54"/>
    </row>
    <row r="17" spans="2:3" ht="15" customHeight="1">
      <c r="B17" s="55" t="s">
        <v>11</v>
      </c>
      <c r="C17" s="55"/>
    </row>
    <row r="18" spans="2:3" ht="48" customHeight="1">
      <c r="B18" s="54" t="s">
        <v>12</v>
      </c>
      <c r="C18" s="54"/>
    </row>
    <row r="19" spans="2:3" ht="15" customHeight="1">
      <c r="B19" s="55" t="s">
        <v>13</v>
      </c>
      <c r="C19" s="55"/>
    </row>
    <row r="20" spans="2:3" ht="48" customHeight="1">
      <c r="B20" s="54" t="s">
        <v>14</v>
      </c>
      <c r="C20" s="54"/>
    </row>
    <row r="21" spans="2:3" ht="15" customHeight="1">
      <c r="B21" s="55" t="s">
        <v>15</v>
      </c>
      <c r="C21" s="55"/>
    </row>
    <row r="22" spans="2:3" ht="48" customHeight="1">
      <c r="B22" s="54" t="s">
        <v>16</v>
      </c>
      <c r="C22" s="54"/>
    </row>
    <row r="24" spans="2:3" ht="19.5" customHeight="1">
      <c r="B24" s="53" t="s">
        <v>17</v>
      </c>
      <c r="C24" s="53"/>
    </row>
    <row r="25" spans="2:3" ht="33.75" customHeight="1">
      <c r="B25" s="3" t="s">
        <v>18</v>
      </c>
      <c r="C25" s="2" t="s">
        <v>19</v>
      </c>
    </row>
    <row r="26" spans="2:3" ht="33.75" customHeight="1">
      <c r="B26" s="3" t="s">
        <v>20</v>
      </c>
      <c r="C26" s="2" t="s">
        <v>21</v>
      </c>
    </row>
    <row r="27" spans="2:3" ht="33.75" customHeight="1">
      <c r="B27" s="3" t="s">
        <v>22</v>
      </c>
      <c r="C27" s="2" t="s">
        <v>23</v>
      </c>
    </row>
    <row r="28" spans="2:3" ht="33.75" customHeight="1">
      <c r="B28" s="3" t="s">
        <v>24</v>
      </c>
      <c r="C28" s="2" t="s">
        <v>25</v>
      </c>
    </row>
    <row r="30" spans="2:3" ht="19.5" customHeight="1">
      <c r="B30" s="53" t="s">
        <v>26</v>
      </c>
      <c r="C30" s="53"/>
    </row>
    <row r="31" spans="2:3">
      <c r="B31" s="4" t="s">
        <v>27</v>
      </c>
      <c r="C31" s="2" t="s">
        <v>28</v>
      </c>
    </row>
    <row r="32" spans="2:3">
      <c r="B32" s="5" t="s">
        <v>27</v>
      </c>
      <c r="C32" s="2" t="s">
        <v>29</v>
      </c>
    </row>
    <row r="33" spans="2:3">
      <c r="B33" s="1" t="s">
        <v>30</v>
      </c>
      <c r="C33" s="2" t="s">
        <v>31</v>
      </c>
    </row>
    <row r="35" spans="2:3" ht="19.5" customHeight="1">
      <c r="B35" s="53" t="s">
        <v>32</v>
      </c>
      <c r="C35" s="53"/>
    </row>
    <row r="36" spans="2:3" ht="90" customHeight="1">
      <c r="B36" s="54" t="s">
        <v>33</v>
      </c>
      <c r="C36" s="54"/>
    </row>
  </sheetData>
  <mergeCells count="21">
    <mergeCell ref="B36:C36"/>
    <mergeCell ref="B21:C21"/>
    <mergeCell ref="B22:C22"/>
    <mergeCell ref="B24:C24"/>
    <mergeCell ref="B30:C30"/>
    <mergeCell ref="B35:C35"/>
    <mergeCell ref="B16:C16"/>
    <mergeCell ref="B17:C17"/>
    <mergeCell ref="B18:C18"/>
    <mergeCell ref="B19:C19"/>
    <mergeCell ref="B20:C20"/>
    <mergeCell ref="B9:C9"/>
    <mergeCell ref="B11:C11"/>
    <mergeCell ref="B12:C12"/>
    <mergeCell ref="B14:C14"/>
    <mergeCell ref="B15:C15"/>
    <mergeCell ref="B2:C2"/>
    <mergeCell ref="B3:C3"/>
    <mergeCell ref="B5:C5"/>
    <mergeCell ref="B6:C6"/>
    <mergeCell ref="B8:C8"/>
  </mergeCells>
  <pageMargins left="0.75" right="0.75" top="1" bottom="1" header="0.511811023622047" footer="0.511811023622047"/>
  <pageSetup paperSize="9" orientation="portrait" horizontalDpi="300" verticalDpi="300"/>
  <headerFooter>
    <oddHeader>&amp;R&amp;"Aptos"&amp;10&amp;K000000 Uso interno&amp;1#_x000D_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8"/>
  <sheetViews>
    <sheetView showGridLines="0" topLeftCell="A45" zoomScaleNormal="100" workbookViewId="0">
      <selection activeCell="C107" sqref="C107"/>
    </sheetView>
  </sheetViews>
  <sheetFormatPr defaultColWidth="8.7109375" defaultRowHeight="14.45"/>
  <cols>
    <col min="1" max="1" width="32" customWidth="1"/>
    <col min="2" max="2" width="95" customWidth="1"/>
    <col min="3" max="3" width="46" customWidth="1"/>
    <col min="4" max="4" width="14" customWidth="1"/>
    <col min="5" max="5" width="12" customWidth="1"/>
  </cols>
  <sheetData>
    <row r="1" spans="1:1" ht="21.75" customHeight="1">
      <c r="A1" s="6" t="s">
        <v>34</v>
      </c>
    </row>
    <row r="3" spans="1:1">
      <c r="A3" s="7" t="s">
        <v>35</v>
      </c>
    </row>
    <row r="4" spans="1:1" ht="18" customHeight="1">
      <c r="A4" s="46" t="s">
        <v>36</v>
      </c>
    </row>
    <row r="5" spans="1:1">
      <c r="A5" s="47" t="s">
        <v>37</v>
      </c>
    </row>
    <row r="6" spans="1:1">
      <c r="A6" s="47" t="s">
        <v>38</v>
      </c>
    </row>
    <row r="7" spans="1:1">
      <c r="A7" s="47" t="s">
        <v>39</v>
      </c>
    </row>
    <row r="8" spans="1:1">
      <c r="A8" s="47" t="s">
        <v>40</v>
      </c>
    </row>
    <row r="9" spans="1:1">
      <c r="A9" s="47" t="s">
        <v>41</v>
      </c>
    </row>
    <row r="10" spans="1:1">
      <c r="A10" s="47" t="s">
        <v>42</v>
      </c>
    </row>
    <row r="11" spans="1:1">
      <c r="A11" s="47" t="s">
        <v>43</v>
      </c>
    </row>
    <row r="12" spans="1:1">
      <c r="A12" s="47" t="s">
        <v>44</v>
      </c>
    </row>
    <row r="13" spans="1:1">
      <c r="A13" s="47" t="s">
        <v>45</v>
      </c>
    </row>
    <row r="14" spans="1:1">
      <c r="A14" s="47" t="s">
        <v>46</v>
      </c>
    </row>
    <row r="15" spans="1:1">
      <c r="A15" s="47" t="s">
        <v>47</v>
      </c>
    </row>
    <row r="17" spans="1:2">
      <c r="A17" s="7" t="s">
        <v>48</v>
      </c>
    </row>
    <row r="18" spans="1:2" ht="18" customHeight="1">
      <c r="A18" s="8" t="s">
        <v>49</v>
      </c>
      <c r="B18" s="8" t="s">
        <v>50</v>
      </c>
    </row>
    <row r="19" spans="1:2" ht="27.6">
      <c r="A19" s="9" t="s">
        <v>51</v>
      </c>
      <c r="B19" s="10" t="s">
        <v>52</v>
      </c>
    </row>
    <row r="20" spans="1:2" ht="27.6">
      <c r="A20" s="9" t="s">
        <v>53</v>
      </c>
      <c r="B20" s="10" t="s">
        <v>54</v>
      </c>
    </row>
    <row r="21" spans="1:2" ht="69">
      <c r="A21" s="9" t="s">
        <v>55</v>
      </c>
      <c r="B21" s="10" t="s">
        <v>56</v>
      </c>
    </row>
    <row r="22" spans="1:2">
      <c r="A22" s="9" t="s">
        <v>57</v>
      </c>
      <c r="B22" s="10" t="s">
        <v>58</v>
      </c>
    </row>
    <row r="24" spans="1:2">
      <c r="A24" s="7" t="s">
        <v>59</v>
      </c>
    </row>
    <row r="25" spans="1:2" ht="18" customHeight="1">
      <c r="A25" s="8" t="s">
        <v>60</v>
      </c>
      <c r="B25" s="8" t="s">
        <v>50</v>
      </c>
    </row>
    <row r="26" spans="1:2">
      <c r="A26" s="9" t="s">
        <v>61</v>
      </c>
      <c r="B26" s="10" t="s">
        <v>62</v>
      </c>
    </row>
    <row r="27" spans="1:2">
      <c r="A27" s="9" t="s">
        <v>63</v>
      </c>
      <c r="B27" s="10" t="s">
        <v>64</v>
      </c>
    </row>
    <row r="28" spans="1:2">
      <c r="A28" s="9" t="s">
        <v>65</v>
      </c>
      <c r="B28" s="10" t="s">
        <v>66</v>
      </c>
    </row>
    <row r="29" spans="1:2">
      <c r="A29" s="9" t="s">
        <v>67</v>
      </c>
      <c r="B29" s="10" t="s">
        <v>68</v>
      </c>
    </row>
    <row r="30" spans="1:2">
      <c r="A30" s="9" t="s">
        <v>69</v>
      </c>
      <c r="B30" s="10" t="s">
        <v>70</v>
      </c>
    </row>
    <row r="31" spans="1:2">
      <c r="A31" s="9" t="s">
        <v>71</v>
      </c>
      <c r="B31" s="10" t="s">
        <v>72</v>
      </c>
    </row>
    <row r="32" spans="1:2">
      <c r="A32" s="9" t="s">
        <v>73</v>
      </c>
      <c r="B32" s="10" t="s">
        <v>74</v>
      </c>
    </row>
    <row r="34" spans="1:5">
      <c r="A34" s="7" t="s">
        <v>75</v>
      </c>
    </row>
    <row r="35" spans="1:5" ht="18" customHeight="1">
      <c r="A35" s="8" t="s">
        <v>76</v>
      </c>
      <c r="B35" s="8" t="s">
        <v>77</v>
      </c>
      <c r="C35" s="8" t="s">
        <v>78</v>
      </c>
    </row>
    <row r="36" spans="1:5" ht="27.6">
      <c r="A36" s="9" t="s">
        <v>79</v>
      </c>
      <c r="B36" s="10" t="s">
        <v>80</v>
      </c>
      <c r="C36" s="10" t="s">
        <v>81</v>
      </c>
    </row>
    <row r="37" spans="1:5">
      <c r="A37" s="9" t="s">
        <v>82</v>
      </c>
      <c r="B37" s="10" t="s">
        <v>83</v>
      </c>
      <c r="C37" s="10" t="s">
        <v>84</v>
      </c>
    </row>
    <row r="38" spans="1:5" ht="27.6">
      <c r="A38" s="9" t="s">
        <v>85</v>
      </c>
      <c r="B38" s="10" t="s">
        <v>86</v>
      </c>
      <c r="C38" s="10" t="s">
        <v>87</v>
      </c>
    </row>
    <row r="39" spans="1:5" ht="27.6">
      <c r="A39" s="9" t="s">
        <v>88</v>
      </c>
      <c r="B39" s="10" t="s">
        <v>89</v>
      </c>
      <c r="C39" s="10" t="s">
        <v>90</v>
      </c>
    </row>
    <row r="40" spans="1:5">
      <c r="A40" s="9" t="s">
        <v>91</v>
      </c>
      <c r="B40" s="10" t="s">
        <v>92</v>
      </c>
      <c r="C40" s="10" t="s">
        <v>93</v>
      </c>
    </row>
    <row r="41" spans="1:5" ht="27.6">
      <c r="A41" s="9" t="s">
        <v>94</v>
      </c>
      <c r="B41" s="10" t="s">
        <v>95</v>
      </c>
      <c r="C41" s="10" t="s">
        <v>96</v>
      </c>
    </row>
    <row r="42" spans="1:5" ht="27.6">
      <c r="A42" s="9" t="s">
        <v>97</v>
      </c>
      <c r="B42" s="10" t="s">
        <v>98</v>
      </c>
      <c r="C42" s="10" t="s">
        <v>99</v>
      </c>
    </row>
    <row r="43" spans="1:5" ht="27.6">
      <c r="A43" s="9" t="s">
        <v>100</v>
      </c>
      <c r="B43" s="10" t="s">
        <v>101</v>
      </c>
      <c r="C43" s="10" t="s">
        <v>102</v>
      </c>
    </row>
    <row r="45" spans="1:5">
      <c r="A45" s="7" t="s">
        <v>103</v>
      </c>
    </row>
    <row r="46" spans="1:5" ht="61.5" customHeight="1">
      <c r="A46" s="56" t="s">
        <v>104</v>
      </c>
      <c r="B46" s="56"/>
      <c r="C46" s="56"/>
      <c r="D46" s="56"/>
      <c r="E46" s="56"/>
    </row>
    <row r="48" spans="1:5" ht="18" customHeight="1">
      <c r="A48" s="8" t="s">
        <v>105</v>
      </c>
      <c r="B48" s="8" t="s">
        <v>106</v>
      </c>
      <c r="C48" s="8" t="s">
        <v>107</v>
      </c>
      <c r="D48" s="8" t="s">
        <v>108</v>
      </c>
      <c r="E48" s="8" t="s">
        <v>109</v>
      </c>
    </row>
    <row r="49" spans="1:5">
      <c r="A49" s="9" t="s">
        <v>110</v>
      </c>
      <c r="B49" s="10" t="s">
        <v>111</v>
      </c>
      <c r="C49" s="9" t="s">
        <v>112</v>
      </c>
      <c r="D49" s="9" t="s">
        <v>113</v>
      </c>
      <c r="E49" s="9"/>
    </row>
    <row r="50" spans="1:5">
      <c r="A50" s="9" t="s">
        <v>114</v>
      </c>
      <c r="B50" s="10" t="s">
        <v>115</v>
      </c>
      <c r="C50" s="9" t="s">
        <v>112</v>
      </c>
      <c r="D50" s="9" t="s">
        <v>113</v>
      </c>
      <c r="E50" s="9"/>
    </row>
    <row r="51" spans="1:5">
      <c r="A51" s="9" t="s">
        <v>116</v>
      </c>
      <c r="B51" s="10" t="s">
        <v>117</v>
      </c>
      <c r="C51" s="9" t="s">
        <v>112</v>
      </c>
      <c r="D51" s="9" t="s">
        <v>113</v>
      </c>
      <c r="E51" s="9"/>
    </row>
    <row r="52" spans="1:5">
      <c r="A52" s="9" t="s">
        <v>118</v>
      </c>
      <c r="B52" s="10" t="s">
        <v>119</v>
      </c>
      <c r="C52" s="9" t="s">
        <v>112</v>
      </c>
      <c r="D52" s="9" t="s">
        <v>113</v>
      </c>
      <c r="E52" s="9"/>
    </row>
    <row r="53" spans="1:5">
      <c r="A53" s="9" t="s">
        <v>120</v>
      </c>
      <c r="B53" s="10" t="s">
        <v>121</v>
      </c>
      <c r="C53" s="9" t="s">
        <v>112</v>
      </c>
      <c r="D53" s="9" t="s">
        <v>113</v>
      </c>
      <c r="E53" s="9"/>
    </row>
    <row r="54" spans="1:5">
      <c r="A54" s="9" t="s">
        <v>122</v>
      </c>
      <c r="B54" s="10" t="s">
        <v>123</v>
      </c>
      <c r="C54" s="9" t="s">
        <v>112</v>
      </c>
      <c r="D54" s="9" t="s">
        <v>113</v>
      </c>
      <c r="E54" s="9"/>
    </row>
    <row r="55" spans="1:5">
      <c r="A55" s="9" t="s">
        <v>124</v>
      </c>
      <c r="B55" s="10" t="s">
        <v>125</v>
      </c>
      <c r="C55" s="9" t="s">
        <v>126</v>
      </c>
      <c r="D55" s="9" t="s">
        <v>127</v>
      </c>
      <c r="E55" s="9"/>
    </row>
    <row r="56" spans="1:5">
      <c r="A56" s="9" t="s">
        <v>128</v>
      </c>
      <c r="B56" s="10" t="s">
        <v>129</v>
      </c>
      <c r="C56" s="9" t="s">
        <v>126</v>
      </c>
      <c r="D56" s="9" t="s">
        <v>127</v>
      </c>
      <c r="E56" s="9"/>
    </row>
    <row r="57" spans="1:5">
      <c r="A57" s="9" t="s">
        <v>130</v>
      </c>
      <c r="B57" s="10" t="s">
        <v>131</v>
      </c>
      <c r="C57" s="9" t="s">
        <v>126</v>
      </c>
      <c r="D57" s="9" t="s">
        <v>127</v>
      </c>
      <c r="E57" s="9"/>
    </row>
    <row r="58" spans="1:5">
      <c r="A58" s="9" t="s">
        <v>132</v>
      </c>
      <c r="B58" s="10" t="s">
        <v>133</v>
      </c>
      <c r="C58" s="9" t="s">
        <v>126</v>
      </c>
      <c r="D58" s="9" t="s">
        <v>127</v>
      </c>
      <c r="E58" s="9"/>
    </row>
    <row r="59" spans="1:5">
      <c r="A59" s="9" t="s">
        <v>134</v>
      </c>
      <c r="B59" s="10" t="s">
        <v>135</v>
      </c>
      <c r="C59" s="9" t="s">
        <v>126</v>
      </c>
      <c r="D59" s="9" t="s">
        <v>127</v>
      </c>
      <c r="E59" s="9"/>
    </row>
    <row r="60" spans="1:5">
      <c r="A60" s="9" t="s">
        <v>136</v>
      </c>
      <c r="B60" s="10" t="s">
        <v>137</v>
      </c>
      <c r="C60" s="9" t="s">
        <v>126</v>
      </c>
      <c r="D60" s="9" t="s">
        <v>127</v>
      </c>
      <c r="E60" s="9"/>
    </row>
    <row r="61" spans="1:5">
      <c r="A61" s="11" t="s">
        <v>138</v>
      </c>
      <c r="B61" s="12" t="s">
        <v>139</v>
      </c>
      <c r="C61" s="11" t="s">
        <v>140</v>
      </c>
      <c r="D61" s="11" t="s">
        <v>141</v>
      </c>
      <c r="E61" s="11" t="s">
        <v>142</v>
      </c>
    </row>
    <row r="62" spans="1:5">
      <c r="A62" s="11" t="s">
        <v>143</v>
      </c>
      <c r="B62" s="12" t="s">
        <v>144</v>
      </c>
      <c r="C62" s="11" t="s">
        <v>140</v>
      </c>
      <c r="D62" s="11" t="s">
        <v>141</v>
      </c>
      <c r="E62" s="11" t="s">
        <v>142</v>
      </c>
    </row>
    <row r="63" spans="1:5">
      <c r="A63" s="11" t="s">
        <v>145</v>
      </c>
      <c r="B63" s="12" t="s">
        <v>146</v>
      </c>
      <c r="C63" s="11" t="s">
        <v>140</v>
      </c>
      <c r="D63" s="11" t="s">
        <v>113</v>
      </c>
      <c r="E63" s="11" t="s">
        <v>142</v>
      </c>
    </row>
    <row r="64" spans="1:5">
      <c r="A64" s="11" t="s">
        <v>147</v>
      </c>
      <c r="B64" s="12" t="s">
        <v>148</v>
      </c>
      <c r="C64" s="11" t="s">
        <v>140</v>
      </c>
      <c r="D64" s="11" t="s">
        <v>113</v>
      </c>
      <c r="E64" s="11" t="s">
        <v>142</v>
      </c>
    </row>
    <row r="65" spans="1:5">
      <c r="A65" s="11" t="s">
        <v>149</v>
      </c>
      <c r="B65" s="12" t="s">
        <v>150</v>
      </c>
      <c r="C65" s="11" t="s">
        <v>140</v>
      </c>
      <c r="D65" s="11" t="s">
        <v>141</v>
      </c>
      <c r="E65" s="11" t="s">
        <v>142</v>
      </c>
    </row>
    <row r="66" spans="1:5">
      <c r="A66" s="11" t="s">
        <v>151</v>
      </c>
      <c r="B66" s="12" t="s">
        <v>152</v>
      </c>
      <c r="C66" s="11" t="s">
        <v>140</v>
      </c>
      <c r="D66" s="11" t="s">
        <v>113</v>
      </c>
      <c r="E66" s="11" t="s">
        <v>142</v>
      </c>
    </row>
    <row r="67" spans="1:5">
      <c r="A67" s="11" t="s">
        <v>153</v>
      </c>
      <c r="B67" s="12" t="s">
        <v>154</v>
      </c>
      <c r="C67" s="11" t="s">
        <v>140</v>
      </c>
      <c r="D67" s="11" t="s">
        <v>113</v>
      </c>
      <c r="E67" s="11" t="s">
        <v>142</v>
      </c>
    </row>
    <row r="68" spans="1:5">
      <c r="A68" s="11" t="s">
        <v>155</v>
      </c>
      <c r="B68" s="12" t="s">
        <v>156</v>
      </c>
      <c r="C68" s="11" t="s">
        <v>140</v>
      </c>
      <c r="D68" s="11" t="s">
        <v>113</v>
      </c>
      <c r="E68" s="11" t="s">
        <v>142</v>
      </c>
    </row>
    <row r="69" spans="1:5">
      <c r="A69" s="11" t="s">
        <v>157</v>
      </c>
      <c r="B69" s="12" t="s">
        <v>158</v>
      </c>
      <c r="C69" s="11" t="s">
        <v>159</v>
      </c>
      <c r="D69" s="11" t="s">
        <v>160</v>
      </c>
      <c r="E69" s="11" t="s">
        <v>142</v>
      </c>
    </row>
    <row r="70" spans="1:5">
      <c r="A70" s="11" t="s">
        <v>161</v>
      </c>
      <c r="B70" s="12" t="s">
        <v>162</v>
      </c>
      <c r="C70" s="11" t="s">
        <v>159</v>
      </c>
      <c r="D70" s="11" t="s">
        <v>141</v>
      </c>
      <c r="E70" s="11" t="s">
        <v>142</v>
      </c>
    </row>
    <row r="71" spans="1:5">
      <c r="A71" s="11" t="s">
        <v>163</v>
      </c>
      <c r="B71" s="12" t="s">
        <v>164</v>
      </c>
      <c r="C71" s="11" t="s">
        <v>159</v>
      </c>
      <c r="D71" s="11" t="s">
        <v>141</v>
      </c>
      <c r="E71" s="11" t="s">
        <v>142</v>
      </c>
    </row>
    <row r="72" spans="1:5">
      <c r="A72" s="9" t="s">
        <v>165</v>
      </c>
      <c r="B72" s="10" t="s">
        <v>166</v>
      </c>
      <c r="C72" s="9" t="s">
        <v>167</v>
      </c>
      <c r="D72" s="9" t="s">
        <v>168</v>
      </c>
      <c r="E72" s="9"/>
    </row>
    <row r="73" spans="1:5">
      <c r="A73" s="9" t="s">
        <v>169</v>
      </c>
      <c r="B73" s="10" t="s">
        <v>170</v>
      </c>
      <c r="C73" s="9" t="s">
        <v>167</v>
      </c>
      <c r="D73" s="9" t="s">
        <v>168</v>
      </c>
      <c r="E73" s="9"/>
    </row>
    <row r="74" spans="1:5">
      <c r="A74" s="9" t="s">
        <v>171</v>
      </c>
      <c r="B74" s="10" t="s">
        <v>172</v>
      </c>
      <c r="C74" s="9" t="s">
        <v>167</v>
      </c>
      <c r="D74" s="9" t="s">
        <v>168</v>
      </c>
      <c r="E74" s="9"/>
    </row>
    <row r="75" spans="1:5">
      <c r="A75" s="9" t="s">
        <v>173</v>
      </c>
      <c r="B75" s="10" t="s">
        <v>174</v>
      </c>
      <c r="C75" s="9" t="s">
        <v>167</v>
      </c>
      <c r="D75" s="9" t="s">
        <v>168</v>
      </c>
      <c r="E75" s="9"/>
    </row>
    <row r="76" spans="1:5">
      <c r="A76" s="9" t="s">
        <v>175</v>
      </c>
      <c r="B76" s="10" t="s">
        <v>176</v>
      </c>
      <c r="C76" s="9" t="s">
        <v>167</v>
      </c>
      <c r="D76" s="9" t="s">
        <v>168</v>
      </c>
      <c r="E76" s="9"/>
    </row>
    <row r="77" spans="1:5">
      <c r="A77" s="9" t="s">
        <v>177</v>
      </c>
      <c r="B77" s="10" t="s">
        <v>178</v>
      </c>
      <c r="C77" s="9" t="s">
        <v>167</v>
      </c>
      <c r="D77" s="9" t="s">
        <v>168</v>
      </c>
      <c r="E77" s="9"/>
    </row>
    <row r="78" spans="1:5">
      <c r="A78" s="9" t="s">
        <v>179</v>
      </c>
      <c r="B78" s="10" t="s">
        <v>180</v>
      </c>
      <c r="C78" s="9" t="s">
        <v>167</v>
      </c>
      <c r="D78" s="9" t="s">
        <v>168</v>
      </c>
      <c r="E78" s="9"/>
    </row>
    <row r="79" spans="1:5">
      <c r="A79" s="9" t="s">
        <v>181</v>
      </c>
      <c r="B79" s="10" t="s">
        <v>182</v>
      </c>
      <c r="C79" s="9" t="s">
        <v>167</v>
      </c>
      <c r="D79" s="9" t="s">
        <v>168</v>
      </c>
      <c r="E79" s="9"/>
    </row>
    <row r="80" spans="1:5">
      <c r="A80" s="9" t="s">
        <v>183</v>
      </c>
      <c r="B80" s="10" t="s">
        <v>184</v>
      </c>
      <c r="C80" s="9" t="s">
        <v>167</v>
      </c>
      <c r="D80" s="9" t="s">
        <v>168</v>
      </c>
      <c r="E80" s="9"/>
    </row>
    <row r="81" spans="1:5">
      <c r="A81" s="9" t="s">
        <v>185</v>
      </c>
      <c r="B81" s="10" t="s">
        <v>186</v>
      </c>
      <c r="C81" s="9" t="s">
        <v>167</v>
      </c>
      <c r="D81" s="9" t="s">
        <v>141</v>
      </c>
      <c r="E81" s="9"/>
    </row>
    <row r="82" spans="1:5">
      <c r="A82" s="9" t="s">
        <v>187</v>
      </c>
      <c r="B82" s="10" t="s">
        <v>188</v>
      </c>
      <c r="C82" s="9" t="s">
        <v>167</v>
      </c>
      <c r="D82" s="9" t="s">
        <v>141</v>
      </c>
      <c r="E82" s="9"/>
    </row>
    <row r="83" spans="1:5">
      <c r="A83" s="9" t="s">
        <v>189</v>
      </c>
      <c r="B83" s="10" t="s">
        <v>190</v>
      </c>
      <c r="C83" s="9" t="s">
        <v>167</v>
      </c>
      <c r="D83" s="9" t="s">
        <v>168</v>
      </c>
      <c r="E83" s="9"/>
    </row>
    <row r="84" spans="1:5">
      <c r="A84" s="9" t="s">
        <v>191</v>
      </c>
      <c r="B84" s="10" t="s">
        <v>192</v>
      </c>
      <c r="C84" s="9" t="s">
        <v>167</v>
      </c>
      <c r="D84" s="9" t="s">
        <v>141</v>
      </c>
      <c r="E84" s="9"/>
    </row>
    <row r="85" spans="1:5">
      <c r="A85" s="9" t="s">
        <v>193</v>
      </c>
      <c r="B85" s="10" t="s">
        <v>194</v>
      </c>
      <c r="C85" s="9" t="s">
        <v>167</v>
      </c>
      <c r="D85" s="9" t="s">
        <v>168</v>
      </c>
      <c r="E85" s="9"/>
    </row>
    <row r="86" spans="1:5">
      <c r="A86" s="9" t="s">
        <v>195</v>
      </c>
      <c r="B86" s="10" t="s">
        <v>196</v>
      </c>
      <c r="C86" s="9" t="s">
        <v>167</v>
      </c>
      <c r="D86" s="9" t="s">
        <v>168</v>
      </c>
      <c r="E86" s="9"/>
    </row>
    <row r="87" spans="1:5">
      <c r="A87" s="9" t="s">
        <v>197</v>
      </c>
      <c r="B87" s="10" t="s">
        <v>198</v>
      </c>
      <c r="C87" s="9" t="s">
        <v>167</v>
      </c>
      <c r="D87" s="9" t="s">
        <v>141</v>
      </c>
      <c r="E87" s="9"/>
    </row>
    <row r="88" spans="1:5">
      <c r="A88" s="9" t="s">
        <v>199</v>
      </c>
      <c r="B88" s="10" t="s">
        <v>200</v>
      </c>
      <c r="C88" s="9" t="s">
        <v>167</v>
      </c>
      <c r="D88" s="9" t="s">
        <v>168</v>
      </c>
      <c r="E88" s="9"/>
    </row>
    <row r="89" spans="1:5">
      <c r="A89" s="9" t="s">
        <v>201</v>
      </c>
      <c r="B89" s="10" t="s">
        <v>202</v>
      </c>
      <c r="C89" s="9" t="s">
        <v>167</v>
      </c>
      <c r="D89" s="9" t="s">
        <v>168</v>
      </c>
      <c r="E89" s="9"/>
    </row>
    <row r="90" spans="1:5">
      <c r="A90" s="9" t="s">
        <v>203</v>
      </c>
      <c r="B90" s="10" t="s">
        <v>204</v>
      </c>
      <c r="C90" s="9" t="s">
        <v>167</v>
      </c>
      <c r="D90" s="9" t="s">
        <v>141</v>
      </c>
      <c r="E90" s="9"/>
    </row>
    <row r="91" spans="1:5">
      <c r="A91" s="9" t="s">
        <v>205</v>
      </c>
      <c r="B91" s="10" t="s">
        <v>206</v>
      </c>
      <c r="C91" s="9" t="s">
        <v>167</v>
      </c>
      <c r="D91" s="9" t="s">
        <v>141</v>
      </c>
      <c r="E91" s="9"/>
    </row>
    <row r="92" spans="1:5">
      <c r="A92" s="9" t="s">
        <v>207</v>
      </c>
      <c r="B92" s="10" t="s">
        <v>208</v>
      </c>
      <c r="C92" s="9" t="s">
        <v>167</v>
      </c>
      <c r="D92" s="9" t="s">
        <v>168</v>
      </c>
      <c r="E92" s="9"/>
    </row>
    <row r="93" spans="1:5">
      <c r="A93" s="9" t="s">
        <v>209</v>
      </c>
      <c r="B93" s="10" t="s">
        <v>210</v>
      </c>
      <c r="C93" s="9" t="s">
        <v>167</v>
      </c>
      <c r="D93" s="9" t="s">
        <v>141</v>
      </c>
      <c r="E93" s="9"/>
    </row>
    <row r="94" spans="1:5">
      <c r="A94" s="9" t="s">
        <v>211</v>
      </c>
      <c r="B94" s="10" t="s">
        <v>212</v>
      </c>
      <c r="C94" s="9" t="s">
        <v>167</v>
      </c>
      <c r="D94" s="9" t="s">
        <v>168</v>
      </c>
      <c r="E94" s="9"/>
    </row>
    <row r="95" spans="1:5">
      <c r="A95" s="9" t="s">
        <v>213</v>
      </c>
      <c r="B95" s="10" t="s">
        <v>214</v>
      </c>
      <c r="C95" s="9" t="s">
        <v>167</v>
      </c>
      <c r="D95" s="9" t="s">
        <v>168</v>
      </c>
      <c r="E95" s="9"/>
    </row>
    <row r="96" spans="1:5">
      <c r="A96" s="9" t="s">
        <v>215</v>
      </c>
      <c r="B96" s="10" t="s">
        <v>216</v>
      </c>
      <c r="C96" s="9" t="s">
        <v>167</v>
      </c>
      <c r="D96" s="9" t="s">
        <v>113</v>
      </c>
      <c r="E96" s="9"/>
    </row>
    <row r="97" spans="1:5">
      <c r="A97" s="9" t="s">
        <v>217</v>
      </c>
      <c r="B97" s="10" t="s">
        <v>218</v>
      </c>
      <c r="C97" s="9" t="s">
        <v>167</v>
      </c>
      <c r="D97" s="9" t="s">
        <v>168</v>
      </c>
      <c r="E97" s="9"/>
    </row>
    <row r="98" spans="1:5">
      <c r="A98" s="9" t="s">
        <v>219</v>
      </c>
      <c r="B98" s="10" t="s">
        <v>220</v>
      </c>
      <c r="C98" s="9" t="s">
        <v>221</v>
      </c>
      <c r="D98" s="9" t="s">
        <v>160</v>
      </c>
      <c r="E98" s="9"/>
    </row>
    <row r="99" spans="1:5">
      <c r="A99" s="9" t="s">
        <v>222</v>
      </c>
      <c r="B99" s="10" t="s">
        <v>223</v>
      </c>
      <c r="C99" s="9" t="s">
        <v>221</v>
      </c>
      <c r="D99" s="9" t="s">
        <v>141</v>
      </c>
      <c r="E99" s="9"/>
    </row>
    <row r="100" spans="1:5">
      <c r="A100" s="9" t="s">
        <v>224</v>
      </c>
      <c r="B100" s="10" t="s">
        <v>225</v>
      </c>
      <c r="C100" s="9" t="s">
        <v>221</v>
      </c>
      <c r="D100" s="9" t="s">
        <v>168</v>
      </c>
      <c r="E100" s="9"/>
    </row>
    <row r="101" spans="1:5">
      <c r="A101" s="9" t="s">
        <v>226</v>
      </c>
      <c r="B101" s="10" t="s">
        <v>227</v>
      </c>
      <c r="C101" s="9" t="s">
        <v>221</v>
      </c>
      <c r="D101" s="9" t="s">
        <v>168</v>
      </c>
      <c r="E101" s="9"/>
    </row>
    <row r="102" spans="1:5">
      <c r="A102" s="9" t="s">
        <v>228</v>
      </c>
      <c r="B102" s="10" t="s">
        <v>229</v>
      </c>
      <c r="C102" s="9" t="s">
        <v>230</v>
      </c>
      <c r="D102" s="9" t="s">
        <v>231</v>
      </c>
      <c r="E102" s="9"/>
    </row>
    <row r="103" spans="1:5">
      <c r="A103" s="9" t="s">
        <v>232</v>
      </c>
      <c r="B103" s="10" t="s">
        <v>233</v>
      </c>
      <c r="C103" s="9" t="s">
        <v>230</v>
      </c>
      <c r="D103" s="9" t="s">
        <v>231</v>
      </c>
      <c r="E103" s="9"/>
    </row>
    <row r="104" spans="1:5">
      <c r="A104" s="9" t="s">
        <v>234</v>
      </c>
      <c r="B104" s="10" t="s">
        <v>235</v>
      </c>
      <c r="C104" s="9" t="s">
        <v>230</v>
      </c>
      <c r="D104" s="9" t="s">
        <v>231</v>
      </c>
      <c r="E104" s="9"/>
    </row>
    <row r="105" spans="1:5">
      <c r="A105" s="9" t="s">
        <v>236</v>
      </c>
      <c r="B105" s="10" t="s">
        <v>237</v>
      </c>
      <c r="C105" s="9" t="s">
        <v>230</v>
      </c>
      <c r="D105" s="9" t="s">
        <v>141</v>
      </c>
      <c r="E105" s="9"/>
    </row>
    <row r="106" spans="1:5">
      <c r="A106" s="9"/>
      <c r="B106" s="10" t="s">
        <v>238</v>
      </c>
      <c r="C106" s="9" t="s">
        <v>159</v>
      </c>
      <c r="D106" s="9" t="s">
        <v>160</v>
      </c>
      <c r="E106" s="9" t="s">
        <v>142</v>
      </c>
    </row>
    <row r="107" spans="1:5">
      <c r="A107" s="9"/>
      <c r="B107" s="10" t="s">
        <v>239</v>
      </c>
      <c r="C107" s="9" t="s">
        <v>230</v>
      </c>
      <c r="D107" s="9" t="s">
        <v>160</v>
      </c>
      <c r="E107" s="9"/>
    </row>
    <row r="108" spans="1:5">
      <c r="A108" s="9"/>
      <c r="B108" s="10" t="s">
        <v>240</v>
      </c>
      <c r="C108" s="9" t="s">
        <v>230</v>
      </c>
      <c r="D108" s="9" t="s">
        <v>160</v>
      </c>
      <c r="E108" s="9"/>
    </row>
    <row r="109" spans="1:5">
      <c r="A109" s="9"/>
      <c r="B109" s="10" t="s">
        <v>241</v>
      </c>
      <c r="C109" s="9" t="s">
        <v>230</v>
      </c>
      <c r="D109" s="9" t="s">
        <v>141</v>
      </c>
      <c r="E109" s="9"/>
    </row>
    <row r="110" spans="1:5">
      <c r="A110" s="9"/>
      <c r="B110" s="10" t="s">
        <v>242</v>
      </c>
      <c r="C110" s="9" t="s">
        <v>230</v>
      </c>
      <c r="D110" s="9" t="s">
        <v>141</v>
      </c>
      <c r="E110" s="9"/>
    </row>
    <row r="111" spans="1:5">
      <c r="A111" s="9"/>
      <c r="B111" s="10" t="s">
        <v>243</v>
      </c>
      <c r="C111" s="9" t="s">
        <v>230</v>
      </c>
      <c r="D111" s="9" t="s">
        <v>141</v>
      </c>
      <c r="E111" s="9"/>
    </row>
    <row r="112" spans="1:5">
      <c r="A112" s="9"/>
      <c r="B112" s="10" t="s">
        <v>244</v>
      </c>
      <c r="C112" s="9" t="s">
        <v>230</v>
      </c>
      <c r="D112" s="9" t="s">
        <v>141</v>
      </c>
      <c r="E112" s="9"/>
    </row>
    <row r="113" spans="1:5">
      <c r="A113" s="9"/>
      <c r="B113" s="10" t="s">
        <v>245</v>
      </c>
      <c r="C113" s="9" t="s">
        <v>230</v>
      </c>
      <c r="D113" s="9"/>
      <c r="E113" s="9"/>
    </row>
    <row r="114" spans="1:5">
      <c r="A114" s="9"/>
      <c r="B114" s="10" t="s">
        <v>246</v>
      </c>
      <c r="C114" s="9" t="s">
        <v>230</v>
      </c>
      <c r="D114" s="9" t="s">
        <v>141</v>
      </c>
      <c r="E114" s="9"/>
    </row>
    <row r="117" spans="1:5">
      <c r="A117" s="7" t="s">
        <v>247</v>
      </c>
    </row>
    <row r="118" spans="1:5" ht="18" customHeight="1">
      <c r="A118" s="8" t="s">
        <v>248</v>
      </c>
      <c r="B118" s="8" t="s">
        <v>50</v>
      </c>
    </row>
    <row r="119" spans="1:5">
      <c r="A119" s="9" t="s">
        <v>249</v>
      </c>
      <c r="B119" s="10" t="s">
        <v>250</v>
      </c>
    </row>
    <row r="120" spans="1:5">
      <c r="A120" s="9" t="s">
        <v>251</v>
      </c>
      <c r="B120" s="10" t="s">
        <v>252</v>
      </c>
    </row>
    <row r="121" spans="1:5">
      <c r="A121" s="9" t="s">
        <v>253</v>
      </c>
      <c r="B121" s="10" t="s">
        <v>254</v>
      </c>
    </row>
    <row r="122" spans="1:5">
      <c r="A122" s="9" t="s">
        <v>255</v>
      </c>
      <c r="B122" s="10" t="s">
        <v>256</v>
      </c>
    </row>
    <row r="123" spans="1:5">
      <c r="A123" s="9" t="s">
        <v>257</v>
      </c>
      <c r="B123" s="10" t="s">
        <v>258</v>
      </c>
    </row>
    <row r="124" spans="1:5">
      <c r="A124" s="9" t="s">
        <v>259</v>
      </c>
      <c r="B124" s="10" t="s">
        <v>260</v>
      </c>
    </row>
    <row r="126" spans="1:5">
      <c r="A126" s="7" t="s">
        <v>261</v>
      </c>
    </row>
    <row r="127" spans="1:5" ht="18" customHeight="1">
      <c r="A127" s="8" t="s">
        <v>262</v>
      </c>
      <c r="B127" s="8" t="s">
        <v>50</v>
      </c>
    </row>
    <row r="128" spans="1:5">
      <c r="A128" s="9" t="s">
        <v>263</v>
      </c>
      <c r="B128" s="10" t="s">
        <v>264</v>
      </c>
    </row>
    <row r="129" spans="1:2">
      <c r="A129" s="9" t="s">
        <v>265</v>
      </c>
      <c r="B129" s="10" t="s">
        <v>266</v>
      </c>
    </row>
    <row r="130" spans="1:2">
      <c r="A130" s="9" t="s">
        <v>267</v>
      </c>
      <c r="B130" s="10" t="s">
        <v>268</v>
      </c>
    </row>
    <row r="131" spans="1:2">
      <c r="A131" s="9" t="s">
        <v>269</v>
      </c>
      <c r="B131" s="10" t="s">
        <v>270</v>
      </c>
    </row>
    <row r="132" spans="1:2">
      <c r="A132" s="9" t="s">
        <v>271</v>
      </c>
      <c r="B132" s="10" t="s">
        <v>272</v>
      </c>
    </row>
    <row r="133" spans="1:2">
      <c r="A133" s="9" t="s">
        <v>273</v>
      </c>
      <c r="B133" s="10" t="s">
        <v>274</v>
      </c>
    </row>
    <row r="135" spans="1:2">
      <c r="A135" s="7" t="s">
        <v>275</v>
      </c>
    </row>
    <row r="136" spans="1:2" ht="18" customHeight="1">
      <c r="A136" s="8" t="s">
        <v>276</v>
      </c>
      <c r="B136" s="8" t="s">
        <v>277</v>
      </c>
    </row>
    <row r="137" spans="1:2">
      <c r="A137" s="9" t="s">
        <v>278</v>
      </c>
      <c r="B137" s="10" t="s">
        <v>279</v>
      </c>
    </row>
    <row r="138" spans="1:2">
      <c r="A138" s="9" t="s">
        <v>280</v>
      </c>
      <c r="B138" s="10" t="s">
        <v>281</v>
      </c>
    </row>
    <row r="139" spans="1:2" ht="27.6">
      <c r="A139" s="9" t="s">
        <v>282</v>
      </c>
      <c r="B139" s="10" t="s">
        <v>283</v>
      </c>
    </row>
    <row r="140" spans="1:2" ht="27.6">
      <c r="A140" s="9" t="s">
        <v>284</v>
      </c>
      <c r="B140" s="10" t="s">
        <v>285</v>
      </c>
    </row>
    <row r="141" spans="1:2" ht="27.6">
      <c r="A141" s="9" t="s">
        <v>286</v>
      </c>
      <c r="B141" s="10" t="s">
        <v>287</v>
      </c>
    </row>
    <row r="143" spans="1:2">
      <c r="A143" s="7" t="s">
        <v>288</v>
      </c>
    </row>
    <row r="144" spans="1:2" ht="18" customHeight="1">
      <c r="A144" s="8" t="s">
        <v>276</v>
      </c>
      <c r="B144" s="8" t="s">
        <v>289</v>
      </c>
    </row>
    <row r="145" spans="1:6">
      <c r="A145" s="9" t="s">
        <v>290</v>
      </c>
      <c r="B145" s="10" t="s">
        <v>291</v>
      </c>
    </row>
    <row r="146" spans="1:6">
      <c r="A146" s="9" t="s">
        <v>292</v>
      </c>
      <c r="B146" s="10" t="s">
        <v>293</v>
      </c>
    </row>
    <row r="147" spans="1:6">
      <c r="A147" s="9" t="s">
        <v>294</v>
      </c>
      <c r="B147" s="10" t="s">
        <v>295</v>
      </c>
    </row>
    <row r="148" spans="1:6">
      <c r="A148" s="9" t="s">
        <v>296</v>
      </c>
      <c r="B148" s="10" t="s">
        <v>297</v>
      </c>
    </row>
    <row r="150" spans="1:6">
      <c r="A150" s="7" t="s">
        <v>298</v>
      </c>
    </row>
    <row r="151" spans="1:6">
      <c r="B151" s="13" t="s">
        <v>299</v>
      </c>
    </row>
    <row r="152" spans="1:6">
      <c r="A152" s="13" t="s">
        <v>300</v>
      </c>
      <c r="B152" s="14">
        <v>1</v>
      </c>
      <c r="C152" s="14">
        <v>2</v>
      </c>
      <c r="D152" s="14">
        <v>3</v>
      </c>
      <c r="E152" s="14">
        <v>4</v>
      </c>
      <c r="F152" s="14">
        <v>5</v>
      </c>
    </row>
    <row r="153" spans="1:6">
      <c r="A153" s="14">
        <v>1</v>
      </c>
      <c r="B153" s="15" t="s">
        <v>301</v>
      </c>
      <c r="C153" s="15" t="s">
        <v>301</v>
      </c>
      <c r="D153" s="16" t="s">
        <v>302</v>
      </c>
      <c r="E153" s="16" t="s">
        <v>302</v>
      </c>
      <c r="F153" s="16" t="s">
        <v>302</v>
      </c>
    </row>
    <row r="154" spans="1:6">
      <c r="A154" s="14">
        <v>2</v>
      </c>
      <c r="B154" s="15" t="s">
        <v>301</v>
      </c>
      <c r="C154" s="16" t="s">
        <v>302</v>
      </c>
      <c r="D154" s="16" t="s">
        <v>302</v>
      </c>
      <c r="E154" s="17" t="s">
        <v>303</v>
      </c>
      <c r="F154" s="17" t="s">
        <v>303</v>
      </c>
    </row>
    <row r="155" spans="1:6">
      <c r="A155" s="14">
        <v>3</v>
      </c>
      <c r="B155" s="16" t="s">
        <v>302</v>
      </c>
      <c r="C155" s="16" t="s">
        <v>302</v>
      </c>
      <c r="D155" s="17" t="s">
        <v>303</v>
      </c>
      <c r="E155" s="18" t="s">
        <v>304</v>
      </c>
      <c r="F155" s="18" t="s">
        <v>304</v>
      </c>
    </row>
    <row r="156" spans="1:6">
      <c r="A156" s="14">
        <v>4</v>
      </c>
      <c r="B156" s="16" t="s">
        <v>302</v>
      </c>
      <c r="C156" s="17" t="s">
        <v>303</v>
      </c>
      <c r="D156" s="18" t="s">
        <v>304</v>
      </c>
      <c r="E156" s="18" t="s">
        <v>304</v>
      </c>
      <c r="F156" s="19" t="s">
        <v>305</v>
      </c>
    </row>
    <row r="158" spans="1:6">
      <c r="A158" s="7" t="s">
        <v>306</v>
      </c>
    </row>
    <row r="159" spans="1:6" ht="18" customHeight="1">
      <c r="A159" s="8" t="s">
        <v>307</v>
      </c>
    </row>
    <row r="160" spans="1:6">
      <c r="A160" s="9" t="s">
        <v>308</v>
      </c>
    </row>
    <row r="161" spans="1:1">
      <c r="A161" s="9" t="s">
        <v>309</v>
      </c>
    </row>
    <row r="162" spans="1:1">
      <c r="A162" s="9" t="s">
        <v>310</v>
      </c>
    </row>
    <row r="163" spans="1:1">
      <c r="A163" s="9" t="s">
        <v>311</v>
      </c>
    </row>
    <row r="164" spans="1:1">
      <c r="A164" s="9" t="s">
        <v>312</v>
      </c>
    </row>
    <row r="165" spans="1:1">
      <c r="A165" s="9" t="s">
        <v>313</v>
      </c>
    </row>
    <row r="166" spans="1:1">
      <c r="A166" s="9" t="s">
        <v>314</v>
      </c>
    </row>
    <row r="167" spans="1:1">
      <c r="A167" s="9" t="s">
        <v>315</v>
      </c>
    </row>
    <row r="168" spans="1:1">
      <c r="A168" s="9" t="s">
        <v>316</v>
      </c>
    </row>
    <row r="169" spans="1:1">
      <c r="A169" s="9" t="s">
        <v>317</v>
      </c>
    </row>
    <row r="170" spans="1:1">
      <c r="A170" s="9" t="s">
        <v>318</v>
      </c>
    </row>
    <row r="171" spans="1:1">
      <c r="A171" s="9" t="s">
        <v>319</v>
      </c>
    </row>
    <row r="172" spans="1:1">
      <c r="A172" s="9" t="s">
        <v>320</v>
      </c>
    </row>
    <row r="173" spans="1:1">
      <c r="A173" s="9" t="s">
        <v>321</v>
      </c>
    </row>
    <row r="174" spans="1:1">
      <c r="A174" s="9" t="s">
        <v>322</v>
      </c>
    </row>
    <row r="175" spans="1:1">
      <c r="A175" s="9" t="s">
        <v>323</v>
      </c>
    </row>
    <row r="176" spans="1:1">
      <c r="A176" s="9" t="s">
        <v>324</v>
      </c>
    </row>
    <row r="177" spans="1:1">
      <c r="A177" s="9" t="s">
        <v>325</v>
      </c>
    </row>
    <row r="178" spans="1:1">
      <c r="A178" s="9" t="s">
        <v>326</v>
      </c>
    </row>
    <row r="179" spans="1:1">
      <c r="A179" s="9" t="s">
        <v>327</v>
      </c>
    </row>
    <row r="180" spans="1:1">
      <c r="A180" s="9" t="s">
        <v>328</v>
      </c>
    </row>
    <row r="181" spans="1:1">
      <c r="A181" s="9" t="s">
        <v>329</v>
      </c>
    </row>
    <row r="182" spans="1:1">
      <c r="A182" s="9" t="s">
        <v>330</v>
      </c>
    </row>
    <row r="183" spans="1:1">
      <c r="A183" s="9" t="s">
        <v>331</v>
      </c>
    </row>
    <row r="185" spans="1:1">
      <c r="A185" s="7" t="s">
        <v>332</v>
      </c>
    </row>
    <row r="186" spans="1:1" ht="18" customHeight="1">
      <c r="A186" s="8" t="s">
        <v>333</v>
      </c>
    </row>
    <row r="187" spans="1:1">
      <c r="A187" s="9" t="s">
        <v>334</v>
      </c>
    </row>
    <row r="188" spans="1:1">
      <c r="A188" s="9" t="s">
        <v>335</v>
      </c>
    </row>
    <row r="189" spans="1:1">
      <c r="A189" s="9" t="s">
        <v>336</v>
      </c>
    </row>
    <row r="190" spans="1:1">
      <c r="A190" s="9" t="s">
        <v>337</v>
      </c>
    </row>
    <row r="192" spans="1:1">
      <c r="A192" s="7" t="s">
        <v>338</v>
      </c>
    </row>
    <row r="193" spans="1:1" ht="18" customHeight="1">
      <c r="A193" s="8" t="s">
        <v>339</v>
      </c>
    </row>
    <row r="194" spans="1:1">
      <c r="A194" s="9" t="s">
        <v>340</v>
      </c>
    </row>
    <row r="195" spans="1:1">
      <c r="A195" s="9" t="s">
        <v>341</v>
      </c>
    </row>
    <row r="196" spans="1:1">
      <c r="A196" s="9" t="s">
        <v>342</v>
      </c>
    </row>
    <row r="197" spans="1:1">
      <c r="A197" s="9" t="s">
        <v>343</v>
      </c>
    </row>
    <row r="198" spans="1:1">
      <c r="A198" s="9" t="s">
        <v>344</v>
      </c>
    </row>
  </sheetData>
  <autoFilter ref="A48:E114" xr:uid="{00000000-0009-0000-0000-000001000000}"/>
  <mergeCells count="1">
    <mergeCell ref="A46:E46"/>
  </mergeCells>
  <pageMargins left="0.75" right="0.75" top="1" bottom="1" header="0.511811023622047" footer="0.511811023622047"/>
  <pageSetup paperSize="9" orientation="portrait" horizontalDpi="300" verticalDpi="300"/>
  <headerFooter>
    <oddHeader>&amp;R&amp;"Aptos"&amp;10&amp;K000000 Uso interno&amp;1#_x000D_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80"/>
  <sheetViews>
    <sheetView showGridLines="0" tabSelected="1" zoomScaleNormal="100" workbookViewId="0">
      <pane ySplit="4" topLeftCell="A57" activePane="bottomLeft" state="frozen"/>
      <selection pane="bottomLeft" activeCell="E61" sqref="E61"/>
    </sheetView>
  </sheetViews>
  <sheetFormatPr defaultColWidth="8.7109375" defaultRowHeight="14.45"/>
  <cols>
    <col min="1" max="1" width="8" customWidth="1"/>
    <col min="2" max="2" width="20" customWidth="1"/>
    <col min="3" max="3" width="30" customWidth="1"/>
    <col min="4" max="4" width="18" customWidth="1"/>
    <col min="5" max="5" width="28" customWidth="1"/>
    <col min="6" max="6" width="30" customWidth="1"/>
    <col min="7" max="7" width="24" customWidth="1"/>
    <col min="8" max="8" width="28" customWidth="1"/>
    <col min="9" max="9" width="16" customWidth="1"/>
    <col min="10" max="10" width="18" customWidth="1"/>
    <col min="11" max="11" width="14" customWidth="1"/>
    <col min="12" max="12" width="28" customWidth="1"/>
    <col min="13" max="13" width="20" customWidth="1"/>
    <col min="14" max="14" width="14" customWidth="1"/>
    <col min="15" max="15" width="18" customWidth="1"/>
  </cols>
  <sheetData>
    <row r="1" spans="1:15" ht="25.5" customHeight="1">
      <c r="A1" s="48" t="s">
        <v>345</v>
      </c>
      <c r="B1" s="48"/>
      <c r="C1" s="48"/>
      <c r="D1" s="48"/>
      <c r="E1" s="48"/>
      <c r="F1" s="48"/>
      <c r="G1" s="48"/>
      <c r="H1" s="48"/>
      <c r="I1" s="48"/>
      <c r="J1" s="48"/>
      <c r="K1" s="48"/>
      <c r="L1" s="48"/>
      <c r="M1" s="48"/>
      <c r="N1" s="48"/>
      <c r="O1" s="48"/>
    </row>
    <row r="2" spans="1:15" ht="15.75" customHeight="1">
      <c r="A2" s="49" t="s">
        <v>346</v>
      </c>
      <c r="B2" s="49"/>
      <c r="C2" s="49"/>
      <c r="D2" s="49"/>
      <c r="E2" s="49"/>
      <c r="F2" s="49"/>
      <c r="G2" s="49"/>
      <c r="H2" s="49"/>
      <c r="I2" s="49"/>
      <c r="J2" s="49"/>
      <c r="K2" s="49"/>
      <c r="L2" s="49"/>
      <c r="M2" s="49"/>
      <c r="N2" s="49"/>
      <c r="O2" s="49"/>
    </row>
    <row r="3" spans="1:15" ht="15.75" customHeight="1">
      <c r="B3" s="50" t="s">
        <v>347</v>
      </c>
      <c r="C3" s="50"/>
      <c r="D3" s="50"/>
      <c r="E3" s="50"/>
      <c r="F3" s="50"/>
      <c r="G3" s="50"/>
      <c r="H3" s="50"/>
      <c r="I3" s="50" t="s">
        <v>348</v>
      </c>
      <c r="J3" s="50"/>
      <c r="K3" s="50"/>
      <c r="L3" s="50"/>
      <c r="M3" s="50"/>
      <c r="N3" s="50" t="s">
        <v>349</v>
      </c>
      <c r="O3" s="50"/>
    </row>
    <row r="4" spans="1:15" ht="42" customHeight="1">
      <c r="A4" s="20" t="s">
        <v>350</v>
      </c>
      <c r="B4" s="20" t="s">
        <v>36</v>
      </c>
      <c r="C4" s="20" t="s">
        <v>351</v>
      </c>
      <c r="D4" s="20" t="s">
        <v>352</v>
      </c>
      <c r="E4" s="20" t="s">
        <v>353</v>
      </c>
      <c r="F4" s="20" t="s">
        <v>354</v>
      </c>
      <c r="G4" s="20" t="s">
        <v>355</v>
      </c>
      <c r="H4" s="20" t="s">
        <v>356</v>
      </c>
      <c r="I4" s="20" t="s">
        <v>357</v>
      </c>
      <c r="J4" s="20" t="s">
        <v>358</v>
      </c>
      <c r="K4" s="20" t="s">
        <v>359</v>
      </c>
      <c r="L4" s="20" t="s">
        <v>360</v>
      </c>
      <c r="M4" s="20" t="s">
        <v>361</v>
      </c>
      <c r="N4" s="20" t="s">
        <v>362</v>
      </c>
      <c r="O4" s="20" t="s">
        <v>363</v>
      </c>
    </row>
    <row r="5" spans="1:15" ht="41.45">
      <c r="A5" s="21" t="s">
        <v>364</v>
      </c>
      <c r="B5" s="10" t="s">
        <v>365</v>
      </c>
      <c r="C5" s="22" t="s">
        <v>51</v>
      </c>
      <c r="D5" s="22" t="s">
        <v>63</v>
      </c>
      <c r="E5" s="10" t="s">
        <v>366</v>
      </c>
      <c r="F5" s="10" t="s">
        <v>367</v>
      </c>
      <c r="G5" s="10" t="s">
        <v>368</v>
      </c>
      <c r="H5" s="10" t="s">
        <v>369</v>
      </c>
      <c r="I5" s="10" t="s">
        <v>286</v>
      </c>
      <c r="J5" s="10" t="s">
        <v>292</v>
      </c>
      <c r="K5" s="23" t="str">
        <f>IF(OR(I5="",J5=""),"",INDEX('Datos maestros'!$B$153:$F$156,VALUE(LEFT(J5,1)),VALUE(LEFT(I5,1))))</f>
        <v>Medio</v>
      </c>
      <c r="L5" s="10" t="s">
        <v>370</v>
      </c>
      <c r="M5" s="10" t="s">
        <v>308</v>
      </c>
      <c r="N5" s="23" t="str">
        <f>IF(A5="","",IF(COUNTIF('Tratamiento de riesgos'!$B:$B,A5)&gt;0,"Sí","No"))</f>
        <v>No</v>
      </c>
      <c r="O5" s="24" t="str">
        <f t="shared" ref="O5:O36" si="0">IF(SUM(COUNTBLANK(B5:C5),COUNTBLANK(E5:F5),COUNTBLANK(I5:J5),COUNTBLANK(M5))&gt;0,"⚠ Pendiente de completar","✓ Completo")</f>
        <v>✓ Completo</v>
      </c>
    </row>
    <row r="6" spans="1:15" ht="27.6">
      <c r="A6" s="21" t="s">
        <v>371</v>
      </c>
      <c r="B6" s="10" t="s">
        <v>372</v>
      </c>
      <c r="C6" s="22" t="s">
        <v>51</v>
      </c>
      <c r="D6" s="22" t="s">
        <v>63</v>
      </c>
      <c r="E6" s="10" t="s">
        <v>373</v>
      </c>
      <c r="F6" s="10" t="s">
        <v>374</v>
      </c>
      <c r="G6" s="10" t="s">
        <v>375</v>
      </c>
      <c r="H6" s="10" t="s">
        <v>376</v>
      </c>
      <c r="I6" s="10" t="s">
        <v>280</v>
      </c>
      <c r="J6" s="10" t="s">
        <v>294</v>
      </c>
      <c r="K6" s="23" t="str">
        <f>IF(OR(I6="",J6=""),"",INDEX('Datos maestros'!$B$153:$F$156,VALUE(LEFT(J6,1)),VALUE(LEFT(I6,1))))</f>
        <v>Bajo</v>
      </c>
      <c r="L6" s="12"/>
      <c r="M6" s="10" t="s">
        <v>308</v>
      </c>
      <c r="N6" s="23" t="str">
        <f>IF(A6="","",IF(COUNTIF('Tratamiento de riesgos'!$B:$B,A6)&gt;0,"Sí","No"))</f>
        <v>No</v>
      </c>
      <c r="O6" s="24" t="str">
        <f t="shared" si="0"/>
        <v>✓ Completo</v>
      </c>
    </row>
    <row r="7" spans="1:15" ht="27.6">
      <c r="A7" s="21" t="s">
        <v>377</v>
      </c>
      <c r="B7" s="10" t="s">
        <v>372</v>
      </c>
      <c r="C7" s="22" t="s">
        <v>51</v>
      </c>
      <c r="D7" s="22" t="s">
        <v>71</v>
      </c>
      <c r="E7" s="10" t="s">
        <v>378</v>
      </c>
      <c r="F7" s="10" t="s">
        <v>379</v>
      </c>
      <c r="G7" s="10" t="s">
        <v>380</v>
      </c>
      <c r="H7" s="10" t="s">
        <v>381</v>
      </c>
      <c r="I7" s="10" t="s">
        <v>280</v>
      </c>
      <c r="J7" s="10" t="s">
        <v>294</v>
      </c>
      <c r="K7" s="23" t="str">
        <f>IF(OR(I7="",J7=""),"",INDEX('Datos maestros'!$B$153:$F$156,VALUE(LEFT(J7,1)),VALUE(LEFT(I7,1))))</f>
        <v>Bajo</v>
      </c>
      <c r="L7" s="10" t="s">
        <v>382</v>
      </c>
      <c r="M7" s="10" t="s">
        <v>331</v>
      </c>
      <c r="N7" s="23" t="str">
        <f>IF(A7="","",IF(COUNTIF('Tratamiento de riesgos'!$B:$B,A7)&gt;0,"Sí","No"))</f>
        <v>No</v>
      </c>
      <c r="O7" s="24" t="str">
        <f t="shared" si="0"/>
        <v>✓ Completo</v>
      </c>
    </row>
    <row r="8" spans="1:15" ht="41.45">
      <c r="A8" s="21" t="s">
        <v>383</v>
      </c>
      <c r="B8" s="10" t="s">
        <v>365</v>
      </c>
      <c r="C8" s="22" t="s">
        <v>51</v>
      </c>
      <c r="D8" s="22" t="s">
        <v>63</v>
      </c>
      <c r="E8" s="10" t="s">
        <v>384</v>
      </c>
      <c r="F8" s="10" t="s">
        <v>385</v>
      </c>
      <c r="G8" s="10" t="s">
        <v>368</v>
      </c>
      <c r="H8" s="10" t="s">
        <v>386</v>
      </c>
      <c r="I8" s="10" t="s">
        <v>282</v>
      </c>
      <c r="J8" s="10" t="s">
        <v>292</v>
      </c>
      <c r="K8" s="23" t="str">
        <f>IF(OR(I8="",J8=""),"",INDEX('Datos maestros'!$B$153:$F$156,VALUE(LEFT(J8,1)),VALUE(LEFT(I8,1))))</f>
        <v>Bajo</v>
      </c>
      <c r="L8" s="10" t="s">
        <v>370</v>
      </c>
      <c r="M8" s="10" t="s">
        <v>308</v>
      </c>
      <c r="N8" s="23" t="str">
        <f>IF(A8="","",IF(COUNTIF('Tratamiento de riesgos'!$B:$B,A8)&gt;0,"Sí","No"))</f>
        <v>No</v>
      </c>
      <c r="O8" s="24" t="str">
        <f t="shared" si="0"/>
        <v>✓ Completo</v>
      </c>
    </row>
    <row r="9" spans="1:15" ht="55.15">
      <c r="A9" s="21" t="s">
        <v>387</v>
      </c>
      <c r="B9" s="10" t="s">
        <v>38</v>
      </c>
      <c r="C9" s="22" t="s">
        <v>51</v>
      </c>
      <c r="D9" s="22" t="s">
        <v>67</v>
      </c>
      <c r="E9" s="10" t="s">
        <v>388</v>
      </c>
      <c r="F9" s="10" t="s">
        <v>389</v>
      </c>
      <c r="G9" s="10" t="s">
        <v>390</v>
      </c>
      <c r="H9" s="10" t="s">
        <v>391</v>
      </c>
      <c r="I9" s="10" t="s">
        <v>284</v>
      </c>
      <c r="J9" s="10" t="s">
        <v>292</v>
      </c>
      <c r="K9" s="23" t="str">
        <f>IF(OR(I9="",J9=""),"",INDEX('Datos maestros'!$B$153:$F$156,VALUE(LEFT(J9,1)),VALUE(LEFT(I9,1))))</f>
        <v>Medio</v>
      </c>
      <c r="L9" s="10" t="s">
        <v>392</v>
      </c>
      <c r="M9" s="10" t="s">
        <v>309</v>
      </c>
      <c r="N9" s="23" t="str">
        <f>IF(A9="","",IF(COUNTIF('Tratamiento de riesgos'!$B:$B,A9)&gt;0,"Sí","No"))</f>
        <v>No</v>
      </c>
      <c r="O9" s="24" t="str">
        <f t="shared" si="0"/>
        <v>✓ Completo</v>
      </c>
    </row>
    <row r="10" spans="1:15" ht="27.6">
      <c r="A10" s="21" t="s">
        <v>393</v>
      </c>
      <c r="B10" s="10" t="s">
        <v>372</v>
      </c>
      <c r="C10" s="22" t="s">
        <v>394</v>
      </c>
      <c r="D10" s="22" t="s">
        <v>67</v>
      </c>
      <c r="E10" s="10" t="s">
        <v>395</v>
      </c>
      <c r="F10" s="10" t="s">
        <v>396</v>
      </c>
      <c r="G10" s="10" t="s">
        <v>397</v>
      </c>
      <c r="H10" s="10" t="s">
        <v>398</v>
      </c>
      <c r="I10" s="10" t="s">
        <v>284</v>
      </c>
      <c r="J10" s="10" t="s">
        <v>294</v>
      </c>
      <c r="K10" s="23" t="str">
        <f>IF(OR(I10="",J10=""),"",INDEX('Datos maestros'!$B$153:$F$156,VALUE(LEFT(J10,1)),VALUE(LEFT(I10,1))))</f>
        <v>Alto</v>
      </c>
      <c r="L10" s="12"/>
      <c r="M10" s="10" t="s">
        <v>310</v>
      </c>
      <c r="N10" s="23" t="str">
        <f>IF(A10="","",IF(COUNTIF('Tratamiento de riesgos'!$B:$B,A10)&gt;0,"Sí","No"))</f>
        <v>Sí</v>
      </c>
      <c r="O10" s="24" t="str">
        <f t="shared" si="0"/>
        <v>✓ Completo</v>
      </c>
    </row>
    <row r="11" spans="1:15" ht="27.6">
      <c r="A11" s="21" t="s">
        <v>399</v>
      </c>
      <c r="B11" s="10" t="s">
        <v>365</v>
      </c>
      <c r="C11" s="22" t="s">
        <v>57</v>
      </c>
      <c r="D11" s="22" t="s">
        <v>65</v>
      </c>
      <c r="E11" s="10" t="s">
        <v>400</v>
      </c>
      <c r="F11" s="10" t="s">
        <v>401</v>
      </c>
      <c r="G11" s="10" t="s">
        <v>402</v>
      </c>
      <c r="H11" s="10" t="s">
        <v>403</v>
      </c>
      <c r="I11" s="10" t="s">
        <v>280</v>
      </c>
      <c r="J11" s="10" t="s">
        <v>294</v>
      </c>
      <c r="K11" s="23" t="str">
        <f>IF(OR(I11="",J11=""),"",INDEX('Datos maestros'!$B$153:$F$156,VALUE(LEFT(J11,1)),VALUE(LEFT(I11,1))))</f>
        <v>Bajo</v>
      </c>
      <c r="L11" s="10" t="s">
        <v>404</v>
      </c>
      <c r="M11" s="10" t="s">
        <v>309</v>
      </c>
      <c r="N11" s="23" t="str">
        <f>IF(A11="","",IF(COUNTIF('Tratamiento de riesgos'!$B:$B,A11)&gt;0,"Sí","No"))</f>
        <v>No</v>
      </c>
      <c r="O11" s="24" t="str">
        <f t="shared" si="0"/>
        <v>✓ Completo</v>
      </c>
    </row>
    <row r="12" spans="1:15" ht="27.6">
      <c r="A12" s="21" t="s">
        <v>405</v>
      </c>
      <c r="B12" s="10" t="s">
        <v>372</v>
      </c>
      <c r="C12" s="22" t="s">
        <v>57</v>
      </c>
      <c r="D12" s="22" t="s">
        <v>67</v>
      </c>
      <c r="E12" s="10" t="s">
        <v>400</v>
      </c>
      <c r="F12" s="10" t="s">
        <v>406</v>
      </c>
      <c r="G12" s="10" t="s">
        <v>407</v>
      </c>
      <c r="H12" s="10" t="s">
        <v>408</v>
      </c>
      <c r="I12" s="10" t="s">
        <v>282</v>
      </c>
      <c r="J12" s="10" t="s">
        <v>292</v>
      </c>
      <c r="K12" s="23" t="str">
        <f>IF(OR(I12="",J12=""),"",INDEX('Datos maestros'!$B$153:$F$156,VALUE(LEFT(J12,1)),VALUE(LEFT(I12,1))))</f>
        <v>Bajo</v>
      </c>
      <c r="L12" s="10" t="s">
        <v>404</v>
      </c>
      <c r="M12" s="10" t="s">
        <v>322</v>
      </c>
      <c r="N12" s="23" t="str">
        <f>IF(A12="","",IF(COUNTIF('Tratamiento de riesgos'!$B:$B,A12)&gt;0,"Sí","No"))</f>
        <v>No</v>
      </c>
      <c r="O12" s="24" t="str">
        <f t="shared" si="0"/>
        <v>✓ Completo</v>
      </c>
    </row>
    <row r="13" spans="1:15" ht="27.6">
      <c r="A13" s="21" t="s">
        <v>409</v>
      </c>
      <c r="B13" s="10" t="s">
        <v>365</v>
      </c>
      <c r="C13" s="22" t="s">
        <v>394</v>
      </c>
      <c r="D13" s="22" t="s">
        <v>67</v>
      </c>
      <c r="E13" s="10" t="s">
        <v>410</v>
      </c>
      <c r="F13" s="10" t="s">
        <v>411</v>
      </c>
      <c r="G13" s="10" t="s">
        <v>412</v>
      </c>
      <c r="H13" s="10" t="s">
        <v>413</v>
      </c>
      <c r="I13" s="10" t="s">
        <v>282</v>
      </c>
      <c r="J13" s="10" t="s">
        <v>292</v>
      </c>
      <c r="K13" s="23" t="str">
        <f>IF(OR(I13="",J13=""),"",INDEX('Datos maestros'!$B$153:$F$156,VALUE(LEFT(J13,1)),VALUE(LEFT(I13,1))))</f>
        <v>Bajo</v>
      </c>
      <c r="L13" s="10" t="s">
        <v>414</v>
      </c>
      <c r="M13" s="10" t="s">
        <v>308</v>
      </c>
      <c r="N13" s="23" t="str">
        <f>IF(A13="","",IF(COUNTIF('Tratamiento de riesgos'!$B:$B,A13)&gt;0,"Sí","No"))</f>
        <v>No</v>
      </c>
      <c r="O13" s="24" t="str">
        <f t="shared" si="0"/>
        <v>✓ Completo</v>
      </c>
    </row>
    <row r="14" spans="1:15" ht="41.45">
      <c r="A14" s="21" t="s">
        <v>415</v>
      </c>
      <c r="B14" s="10" t="s">
        <v>372</v>
      </c>
      <c r="C14" s="22" t="s">
        <v>394</v>
      </c>
      <c r="D14" s="22" t="s">
        <v>67</v>
      </c>
      <c r="E14" s="10" t="s">
        <v>416</v>
      </c>
      <c r="F14" s="10" t="s">
        <v>417</v>
      </c>
      <c r="G14" s="10" t="s">
        <v>418</v>
      </c>
      <c r="H14" s="10" t="s">
        <v>419</v>
      </c>
      <c r="I14" s="10" t="s">
        <v>280</v>
      </c>
      <c r="J14" s="10" t="s">
        <v>294</v>
      </c>
      <c r="K14" s="23" t="str">
        <f>IF(OR(I14="",J14=""),"",INDEX('Datos maestros'!$B$153:$F$156,VALUE(LEFT(J14,1)),VALUE(LEFT(I14,1))))</f>
        <v>Bajo</v>
      </c>
      <c r="L14" s="10" t="s">
        <v>420</v>
      </c>
      <c r="M14" s="10" t="s">
        <v>309</v>
      </c>
      <c r="N14" s="23" t="str">
        <f>IF(A14="","",IF(COUNTIF('Tratamiento de riesgos'!$B:$B,A14)&gt;0,"Sí","No"))</f>
        <v>No</v>
      </c>
      <c r="O14" s="24" t="str">
        <f t="shared" si="0"/>
        <v>✓ Completo</v>
      </c>
    </row>
    <row r="15" spans="1:15" ht="27.6">
      <c r="A15" s="21" t="s">
        <v>421</v>
      </c>
      <c r="B15" s="10" t="s">
        <v>38</v>
      </c>
      <c r="C15" s="22" t="s">
        <v>394</v>
      </c>
      <c r="D15" s="22" t="s">
        <v>69</v>
      </c>
      <c r="E15" s="10" t="s">
        <v>422</v>
      </c>
      <c r="F15" s="10" t="s">
        <v>423</v>
      </c>
      <c r="G15" s="10" t="s">
        <v>424</v>
      </c>
      <c r="H15" s="10" t="s">
        <v>425</v>
      </c>
      <c r="I15" s="10" t="s">
        <v>280</v>
      </c>
      <c r="J15" s="10" t="s">
        <v>294</v>
      </c>
      <c r="K15" s="23" t="str">
        <f>IF(OR(I15="",J15=""),"",INDEX('Datos maestros'!$B$153:$F$156,VALUE(LEFT(J15,1)),VALUE(LEFT(I15,1))))</f>
        <v>Bajo</v>
      </c>
      <c r="L15" s="10" t="s">
        <v>426</v>
      </c>
      <c r="M15" s="10" t="s">
        <v>331</v>
      </c>
      <c r="N15" s="23" t="str">
        <f>IF(A15="","",IF(COUNTIF('Tratamiento de riesgos'!$B:$B,A15)&gt;0,"Sí","No"))</f>
        <v>No</v>
      </c>
      <c r="O15" s="24" t="str">
        <f t="shared" si="0"/>
        <v>✓ Completo</v>
      </c>
    </row>
    <row r="16" spans="1:15" ht="27.6">
      <c r="A16" s="21" t="s">
        <v>427</v>
      </c>
      <c r="B16" s="10" t="s">
        <v>38</v>
      </c>
      <c r="C16" s="22" t="s">
        <v>394</v>
      </c>
      <c r="D16" s="22" t="s">
        <v>65</v>
      </c>
      <c r="E16" s="10" t="s">
        <v>422</v>
      </c>
      <c r="F16" s="10" t="s">
        <v>428</v>
      </c>
      <c r="G16" s="10" t="s">
        <v>424</v>
      </c>
      <c r="H16" s="10" t="s">
        <v>429</v>
      </c>
      <c r="I16" s="10" t="s">
        <v>282</v>
      </c>
      <c r="J16" s="10" t="s">
        <v>292</v>
      </c>
      <c r="K16" s="23" t="str">
        <f>IF(OR(I16="",J16=""),"",INDEX('Datos maestros'!$B$153:$F$156,VALUE(LEFT(J16,1)),VALUE(LEFT(I16,1))))</f>
        <v>Bajo</v>
      </c>
      <c r="L16" s="10" t="s">
        <v>426</v>
      </c>
      <c r="M16" s="10" t="s">
        <v>329</v>
      </c>
      <c r="N16" s="23" t="str">
        <f>IF(A16="","",IF(COUNTIF('Tratamiento de riesgos'!$B:$B,A16)&gt;0,"Sí","No"))</f>
        <v>No</v>
      </c>
      <c r="O16" s="24" t="str">
        <f t="shared" si="0"/>
        <v>✓ Completo</v>
      </c>
    </row>
    <row r="17" spans="1:15" ht="41.45">
      <c r="A17" s="21" t="s">
        <v>430</v>
      </c>
      <c r="B17" s="10" t="s">
        <v>372</v>
      </c>
      <c r="C17" s="22" t="s">
        <v>53</v>
      </c>
      <c r="D17" s="22" t="s">
        <v>65</v>
      </c>
      <c r="E17" s="10" t="s">
        <v>431</v>
      </c>
      <c r="F17" s="10" t="s">
        <v>432</v>
      </c>
      <c r="G17" s="10" t="s">
        <v>433</v>
      </c>
      <c r="H17" s="10" t="s">
        <v>434</v>
      </c>
      <c r="I17" s="10" t="s">
        <v>282</v>
      </c>
      <c r="J17" s="10" t="s">
        <v>292</v>
      </c>
      <c r="K17" s="23" t="str">
        <f>IF(OR(I17="",J17=""),"",INDEX('Datos maestros'!$B$153:$F$156,VALUE(LEFT(J17,1)),VALUE(LEFT(I17,1))))</f>
        <v>Bajo</v>
      </c>
      <c r="L17" s="10" t="s">
        <v>435</v>
      </c>
      <c r="M17" s="10" t="s">
        <v>317</v>
      </c>
      <c r="N17" s="23" t="str">
        <f>IF(A17="","",IF(COUNTIF('Tratamiento de riesgos'!$B:$B,A17)&gt;0,"Sí","No"))</f>
        <v>No</v>
      </c>
      <c r="O17" s="24" t="str">
        <f t="shared" si="0"/>
        <v>✓ Completo</v>
      </c>
    </row>
    <row r="18" spans="1:15" ht="41.45">
      <c r="A18" s="21" t="s">
        <v>436</v>
      </c>
      <c r="B18" s="10" t="s">
        <v>372</v>
      </c>
      <c r="C18" s="22" t="s">
        <v>53</v>
      </c>
      <c r="D18" s="22" t="s">
        <v>65</v>
      </c>
      <c r="E18" s="10" t="s">
        <v>431</v>
      </c>
      <c r="F18" s="10" t="s">
        <v>437</v>
      </c>
      <c r="G18" s="10" t="s">
        <v>438</v>
      </c>
      <c r="H18" s="10" t="s">
        <v>439</v>
      </c>
      <c r="I18" s="10" t="s">
        <v>284</v>
      </c>
      <c r="J18" s="10" t="s">
        <v>292</v>
      </c>
      <c r="K18" s="23" t="str">
        <f>IF(OR(I18="",J18=""),"",INDEX('Datos maestros'!$B$153:$F$156,VALUE(LEFT(J18,1)),VALUE(LEFT(I18,1))))</f>
        <v>Medio</v>
      </c>
      <c r="L18" s="10" t="s">
        <v>440</v>
      </c>
      <c r="M18" s="10" t="s">
        <v>317</v>
      </c>
      <c r="N18" s="23" t="str">
        <f>IF(A18="","",IF(COUNTIF('Tratamiento de riesgos'!$B:$B,A18)&gt;0,"Sí","No"))</f>
        <v>No</v>
      </c>
      <c r="O18" s="24" t="str">
        <f t="shared" si="0"/>
        <v>✓ Completo</v>
      </c>
    </row>
    <row r="19" spans="1:15" ht="27.6">
      <c r="A19" s="21" t="s">
        <v>441</v>
      </c>
      <c r="B19" s="10" t="s">
        <v>372</v>
      </c>
      <c r="C19" s="22" t="s">
        <v>53</v>
      </c>
      <c r="D19" s="22" t="s">
        <v>65</v>
      </c>
      <c r="E19" s="10" t="s">
        <v>431</v>
      </c>
      <c r="F19" s="10" t="s">
        <v>442</v>
      </c>
      <c r="G19" s="10" t="s">
        <v>443</v>
      </c>
      <c r="H19" s="10" t="s">
        <v>444</v>
      </c>
      <c r="I19" s="10" t="s">
        <v>284</v>
      </c>
      <c r="J19" s="10" t="s">
        <v>290</v>
      </c>
      <c r="K19" s="23" t="str">
        <f>IF(OR(I19="",J19=""),"",INDEX('Datos maestros'!$B$153:$F$156,VALUE(LEFT(J19,1)),VALUE(LEFT(I19,1))))</f>
        <v>Bajo</v>
      </c>
      <c r="L19" s="10" t="s">
        <v>445</v>
      </c>
      <c r="M19" s="10" t="s">
        <v>446</v>
      </c>
      <c r="N19" s="23" t="str">
        <f>IF(A19="","",IF(COUNTIF('Tratamiento de riesgos'!$B:$B,A19)&gt;0,"Sí","No"))</f>
        <v>No</v>
      </c>
      <c r="O19" s="24" t="str">
        <f t="shared" si="0"/>
        <v>✓ Completo</v>
      </c>
    </row>
    <row r="20" spans="1:15" ht="41.45">
      <c r="A20" s="21" t="s">
        <v>447</v>
      </c>
      <c r="B20" s="10" t="s">
        <v>38</v>
      </c>
      <c r="C20" s="22" t="s">
        <v>53</v>
      </c>
      <c r="D20" s="22" t="s">
        <v>67</v>
      </c>
      <c r="E20" s="10" t="s">
        <v>448</v>
      </c>
      <c r="F20" s="10" t="s">
        <v>449</v>
      </c>
      <c r="G20" s="10" t="s">
        <v>450</v>
      </c>
      <c r="H20" s="10" t="s">
        <v>451</v>
      </c>
      <c r="I20" s="10" t="s">
        <v>284</v>
      </c>
      <c r="J20" s="10" t="s">
        <v>294</v>
      </c>
      <c r="K20" s="23" t="str">
        <f>IF(OR(I20="",J20=""),"",INDEX('Datos maestros'!$B$153:$F$156,VALUE(LEFT(J20,1)),VALUE(LEFT(I20,1))))</f>
        <v>Alto</v>
      </c>
      <c r="L20" s="10" t="s">
        <v>452</v>
      </c>
      <c r="M20" s="10" t="s">
        <v>320</v>
      </c>
      <c r="N20" s="23" t="str">
        <f>IF(A20="","",IF(COUNTIF('Tratamiento de riesgos'!$B:$B,A20)&gt;0,"Sí","No"))</f>
        <v>Sí</v>
      </c>
      <c r="O20" s="24" t="str">
        <f t="shared" si="0"/>
        <v>✓ Completo</v>
      </c>
    </row>
    <row r="21" spans="1:15" ht="27.6">
      <c r="A21" s="21" t="s">
        <v>453</v>
      </c>
      <c r="B21" s="10" t="s">
        <v>372</v>
      </c>
      <c r="C21" s="22" t="s">
        <v>394</v>
      </c>
      <c r="D21" s="22" t="s">
        <v>67</v>
      </c>
      <c r="E21" s="10" t="s">
        <v>454</v>
      </c>
      <c r="F21" s="10" t="s">
        <v>455</v>
      </c>
      <c r="G21" s="10" t="s">
        <v>450</v>
      </c>
      <c r="H21" s="10" t="s">
        <v>451</v>
      </c>
      <c r="I21" s="10" t="s">
        <v>282</v>
      </c>
      <c r="J21" s="10" t="s">
        <v>294</v>
      </c>
      <c r="K21" s="23" t="str">
        <f>IF(OR(I21="",J21=""),"",INDEX('Datos maestros'!$B$153:$F$156,VALUE(LEFT(J21,1)),VALUE(LEFT(I21,1))))</f>
        <v>Medio</v>
      </c>
      <c r="L21" s="12"/>
      <c r="M21" s="10" t="s">
        <v>310</v>
      </c>
      <c r="N21" s="23" t="str">
        <f>IF(A21="","",IF(COUNTIF('Tratamiento de riesgos'!$B:$B,A21)&gt;0,"Sí","No"))</f>
        <v>No</v>
      </c>
      <c r="O21" s="24" t="str">
        <f t="shared" si="0"/>
        <v>✓ Completo</v>
      </c>
    </row>
    <row r="22" spans="1:15" ht="27.6">
      <c r="A22" s="21" t="s">
        <v>456</v>
      </c>
      <c r="B22" s="10" t="s">
        <v>372</v>
      </c>
      <c r="C22" s="22" t="s">
        <v>394</v>
      </c>
      <c r="D22" s="22" t="s">
        <v>65</v>
      </c>
      <c r="E22" s="10" t="s">
        <v>457</v>
      </c>
      <c r="F22" s="10" t="s">
        <v>458</v>
      </c>
      <c r="G22" s="10" t="s">
        <v>459</v>
      </c>
      <c r="H22" s="10" t="s">
        <v>460</v>
      </c>
      <c r="I22" s="10" t="s">
        <v>282</v>
      </c>
      <c r="J22" s="10" t="s">
        <v>292</v>
      </c>
      <c r="K22" s="23" t="str">
        <f>IF(OR(I22="",J22=""),"",INDEX('Datos maestros'!$B$153:$F$156,VALUE(LEFT(J22,1)),VALUE(LEFT(I22,1))))</f>
        <v>Bajo</v>
      </c>
      <c r="L22" s="10" t="s">
        <v>461</v>
      </c>
      <c r="M22" s="10" t="s">
        <v>331</v>
      </c>
      <c r="N22" s="23" t="str">
        <f>IF(A22="","",IF(COUNTIF('Tratamiento de riesgos'!$B:$B,A22)&gt;0,"Sí","No"))</f>
        <v>No</v>
      </c>
      <c r="O22" s="24" t="str">
        <f t="shared" si="0"/>
        <v>✓ Completo</v>
      </c>
    </row>
    <row r="23" spans="1:15" ht="27.6">
      <c r="A23" s="21" t="s">
        <v>462</v>
      </c>
      <c r="B23" s="10" t="s">
        <v>372</v>
      </c>
      <c r="C23" s="22" t="s">
        <v>394</v>
      </c>
      <c r="D23" s="22" t="s">
        <v>67</v>
      </c>
      <c r="E23" s="10" t="s">
        <v>463</v>
      </c>
      <c r="F23" s="10" t="s">
        <v>464</v>
      </c>
      <c r="G23" s="10" t="s">
        <v>424</v>
      </c>
      <c r="H23" s="10" t="s">
        <v>465</v>
      </c>
      <c r="I23" s="10" t="s">
        <v>282</v>
      </c>
      <c r="J23" s="10" t="s">
        <v>294</v>
      </c>
      <c r="K23" s="23" t="str">
        <f>IF(OR(I23="",J23=""),"",INDEX('Datos maestros'!$B$153:$F$156,VALUE(LEFT(J23,1)),VALUE(LEFT(I23,1))))</f>
        <v>Medio</v>
      </c>
      <c r="L23" s="10" t="s">
        <v>466</v>
      </c>
      <c r="M23" s="10" t="s">
        <v>310</v>
      </c>
      <c r="N23" s="23" t="str">
        <f>IF(A23="","",IF(COUNTIF('Tratamiento de riesgos'!$B:$B,A23)&gt;0,"Sí","No"))</f>
        <v>No</v>
      </c>
      <c r="O23" s="24" t="str">
        <f t="shared" si="0"/>
        <v>✓ Completo</v>
      </c>
    </row>
    <row r="24" spans="1:15" ht="41.45">
      <c r="A24" s="21" t="s">
        <v>467</v>
      </c>
      <c r="B24" s="10" t="s">
        <v>372</v>
      </c>
      <c r="C24" s="22" t="s">
        <v>394</v>
      </c>
      <c r="D24" s="22" t="s">
        <v>65</v>
      </c>
      <c r="E24" s="10" t="s">
        <v>468</v>
      </c>
      <c r="F24" s="10" t="s">
        <v>469</v>
      </c>
      <c r="G24" s="10" t="s">
        <v>470</v>
      </c>
      <c r="H24" s="10" t="s">
        <v>471</v>
      </c>
      <c r="I24" s="10" t="s">
        <v>280</v>
      </c>
      <c r="J24" s="10" t="s">
        <v>294</v>
      </c>
      <c r="K24" s="23" t="str">
        <f>IF(OR(I24="",J24=""),"",INDEX('Datos maestros'!$B$153:$F$156,VALUE(LEFT(J24,1)),VALUE(LEFT(I24,1))))</f>
        <v>Bajo</v>
      </c>
      <c r="L24" s="10" t="s">
        <v>472</v>
      </c>
      <c r="M24" s="10" t="s">
        <v>309</v>
      </c>
      <c r="N24" s="23" t="str">
        <f>IF(A24="","",IF(COUNTIF('Tratamiento de riesgos'!$B:$B,A24)&gt;0,"Sí","No"))</f>
        <v>No</v>
      </c>
      <c r="O24" s="24" t="str">
        <f t="shared" si="0"/>
        <v>✓ Completo</v>
      </c>
    </row>
    <row r="25" spans="1:15" ht="41.45">
      <c r="A25" s="21" t="s">
        <v>473</v>
      </c>
      <c r="B25" s="10" t="s">
        <v>372</v>
      </c>
      <c r="C25" s="22" t="s">
        <v>394</v>
      </c>
      <c r="D25" s="22" t="s">
        <v>63</v>
      </c>
      <c r="E25" s="10" t="s">
        <v>468</v>
      </c>
      <c r="F25" s="10" t="s">
        <v>474</v>
      </c>
      <c r="G25" s="10" t="s">
        <v>470</v>
      </c>
      <c r="H25" s="10" t="s">
        <v>475</v>
      </c>
      <c r="I25" s="10" t="s">
        <v>280</v>
      </c>
      <c r="J25" s="10" t="s">
        <v>294</v>
      </c>
      <c r="K25" s="23" t="str">
        <f>IF(OR(I25="",J25=""),"",INDEX('Datos maestros'!$B$153:$F$156,VALUE(LEFT(J25,1)),VALUE(LEFT(I25,1))))</f>
        <v>Bajo</v>
      </c>
      <c r="L25" s="10" t="s">
        <v>472</v>
      </c>
      <c r="M25" s="10" t="s">
        <v>309</v>
      </c>
      <c r="N25" s="23" t="str">
        <f>IF(A25="","",IF(COUNTIF('Tratamiento de riesgos'!$B:$B,A25)&gt;0,"Sí","No"))</f>
        <v>No</v>
      </c>
      <c r="O25" s="24" t="str">
        <f t="shared" si="0"/>
        <v>✓ Completo</v>
      </c>
    </row>
    <row r="26" spans="1:15" ht="27.6">
      <c r="A26" s="21" t="s">
        <v>476</v>
      </c>
      <c r="B26" s="10" t="s">
        <v>372</v>
      </c>
      <c r="C26" s="22" t="s">
        <v>394</v>
      </c>
      <c r="D26" s="22" t="s">
        <v>69</v>
      </c>
      <c r="E26" s="10" t="s">
        <v>477</v>
      </c>
      <c r="F26" s="10" t="s">
        <v>478</v>
      </c>
      <c r="G26" s="10" t="s">
        <v>479</v>
      </c>
      <c r="H26" s="10" t="s">
        <v>480</v>
      </c>
      <c r="I26" s="10" t="s">
        <v>284</v>
      </c>
      <c r="J26" s="10" t="s">
        <v>290</v>
      </c>
      <c r="K26" s="23" t="str">
        <f>IF(OR(I26="",J26=""),"",INDEX('Datos maestros'!$B$153:$F$156,VALUE(LEFT(J26,1)),VALUE(LEFT(I26,1))))</f>
        <v>Bajo</v>
      </c>
      <c r="L26" s="10" t="s">
        <v>481</v>
      </c>
      <c r="M26" s="10" t="s">
        <v>317</v>
      </c>
      <c r="N26" s="23" t="str">
        <f>IF(A26="","",IF(COUNTIF('Tratamiento de riesgos'!$B:$B,A26)&gt;0,"Sí","No"))</f>
        <v>No</v>
      </c>
      <c r="O26" s="24" t="str">
        <f t="shared" si="0"/>
        <v>✓ Completo</v>
      </c>
    </row>
    <row r="27" spans="1:15" ht="27.6">
      <c r="A27" s="21" t="s">
        <v>482</v>
      </c>
      <c r="B27" s="10" t="s">
        <v>38</v>
      </c>
      <c r="C27" s="22" t="s">
        <v>394</v>
      </c>
      <c r="D27" s="22" t="s">
        <v>69</v>
      </c>
      <c r="E27" s="10" t="s">
        <v>483</v>
      </c>
      <c r="F27" s="10" t="s">
        <v>484</v>
      </c>
      <c r="G27" s="10" t="s">
        <v>479</v>
      </c>
      <c r="H27" s="10" t="s">
        <v>480</v>
      </c>
      <c r="I27" s="10" t="s">
        <v>284</v>
      </c>
      <c r="J27" s="10" t="s">
        <v>294</v>
      </c>
      <c r="K27" s="23" t="str">
        <f>IF(OR(I27="",J27=""),"",INDEX('Datos maestros'!$B$153:$F$156,VALUE(LEFT(J27,1)),VALUE(LEFT(I27,1))))</f>
        <v>Alto</v>
      </c>
      <c r="L27" s="10" t="s">
        <v>481</v>
      </c>
      <c r="M27" s="10" t="s">
        <v>317</v>
      </c>
      <c r="N27" s="23" t="str">
        <f>IF(A27="","",IF(COUNTIF('Tratamiento de riesgos'!$B:$B,A27)&gt;0,"Sí","No"))</f>
        <v>Sí</v>
      </c>
      <c r="O27" s="24" t="str">
        <f t="shared" si="0"/>
        <v>✓ Completo</v>
      </c>
    </row>
    <row r="28" spans="1:15" ht="41.45">
      <c r="A28" s="21" t="s">
        <v>485</v>
      </c>
      <c r="B28" s="10" t="s">
        <v>38</v>
      </c>
      <c r="C28" s="22" t="s">
        <v>53</v>
      </c>
      <c r="D28" s="22" t="s">
        <v>65</v>
      </c>
      <c r="E28" s="10" t="s">
        <v>486</v>
      </c>
      <c r="F28" s="10" t="s">
        <v>487</v>
      </c>
      <c r="G28" s="10" t="s">
        <v>488</v>
      </c>
      <c r="H28" s="10" t="s">
        <v>489</v>
      </c>
      <c r="I28" s="10" t="s">
        <v>282</v>
      </c>
      <c r="J28" s="10" t="s">
        <v>294</v>
      </c>
      <c r="K28" s="23" t="str">
        <f>IF(OR(I28="",J28=""),"",INDEX('Datos maestros'!$B$153:$F$156,VALUE(LEFT(J28,1)),VALUE(LEFT(I28,1))))</f>
        <v>Medio</v>
      </c>
      <c r="L28" s="10" t="s">
        <v>490</v>
      </c>
      <c r="M28" s="10" t="s">
        <v>310</v>
      </c>
      <c r="N28" s="23" t="str">
        <f>IF(A28="","",IF(COUNTIF('Tratamiento de riesgos'!$B:$B,A28)&gt;0,"Sí","No"))</f>
        <v>No</v>
      </c>
      <c r="O28" s="24" t="str">
        <f t="shared" si="0"/>
        <v>✓ Completo</v>
      </c>
    </row>
    <row r="29" spans="1:15" ht="41.45">
      <c r="A29" s="21" t="s">
        <v>491</v>
      </c>
      <c r="B29" s="10" t="s">
        <v>38</v>
      </c>
      <c r="C29" s="22" t="s">
        <v>53</v>
      </c>
      <c r="D29" s="22" t="s">
        <v>65</v>
      </c>
      <c r="E29" s="10" t="s">
        <v>486</v>
      </c>
      <c r="F29" s="10" t="s">
        <v>492</v>
      </c>
      <c r="G29" s="10" t="s">
        <v>493</v>
      </c>
      <c r="H29" s="10" t="s">
        <v>494</v>
      </c>
      <c r="I29" s="10" t="s">
        <v>282</v>
      </c>
      <c r="J29" s="10" t="s">
        <v>294</v>
      </c>
      <c r="K29" s="23" t="str">
        <f>IF(OR(I29="",J29=""),"",INDEX('Datos maestros'!$B$153:$F$156,VALUE(LEFT(J29,1)),VALUE(LEFT(I29,1))))</f>
        <v>Medio</v>
      </c>
      <c r="L29" s="12"/>
      <c r="M29" s="10" t="s">
        <v>310</v>
      </c>
      <c r="N29" s="23" t="str">
        <f>IF(A29="","",IF(COUNTIF('Tratamiento de riesgos'!$B:$B,A29)&gt;0,"Sí","No"))</f>
        <v>No</v>
      </c>
      <c r="O29" s="24" t="str">
        <f t="shared" si="0"/>
        <v>✓ Completo</v>
      </c>
    </row>
    <row r="30" spans="1:15" ht="27.6">
      <c r="A30" s="21" t="s">
        <v>495</v>
      </c>
      <c r="B30" s="10" t="s">
        <v>372</v>
      </c>
      <c r="C30" s="22" t="s">
        <v>394</v>
      </c>
      <c r="D30" s="22" t="s">
        <v>67</v>
      </c>
      <c r="E30" s="10" t="s">
        <v>496</v>
      </c>
      <c r="F30" s="10" t="s">
        <v>497</v>
      </c>
      <c r="G30" s="10" t="s">
        <v>498</v>
      </c>
      <c r="H30" s="10" t="s">
        <v>499</v>
      </c>
      <c r="I30" s="10" t="s">
        <v>280</v>
      </c>
      <c r="J30" s="10" t="s">
        <v>296</v>
      </c>
      <c r="K30" s="23" t="str">
        <f>IF(OR(I30="",J30=""),"",INDEX('Datos maestros'!$B$153:$F$156,VALUE(LEFT(J30,1)),VALUE(LEFT(I30,1))))</f>
        <v>Medio</v>
      </c>
      <c r="L30" s="12"/>
      <c r="M30" s="10" t="s">
        <v>310</v>
      </c>
      <c r="N30" s="23" t="str">
        <f>IF(A30="","",IF(COUNTIF('Tratamiento de riesgos'!$B:$B,A30)&gt;0,"Sí","No"))</f>
        <v>No</v>
      </c>
      <c r="O30" s="24" t="str">
        <f t="shared" si="0"/>
        <v>✓ Completo</v>
      </c>
    </row>
    <row r="31" spans="1:15" ht="27.6">
      <c r="A31" s="21" t="s">
        <v>500</v>
      </c>
      <c r="B31" s="10" t="s">
        <v>372</v>
      </c>
      <c r="C31" s="22" t="s">
        <v>394</v>
      </c>
      <c r="D31" s="22" t="s">
        <v>65</v>
      </c>
      <c r="E31" s="10" t="s">
        <v>501</v>
      </c>
      <c r="F31" s="10" t="s">
        <v>502</v>
      </c>
      <c r="G31" s="10" t="s">
        <v>498</v>
      </c>
      <c r="H31" s="10" t="s">
        <v>499</v>
      </c>
      <c r="I31" s="10" t="s">
        <v>282</v>
      </c>
      <c r="J31" s="10" t="s">
        <v>294</v>
      </c>
      <c r="K31" s="23" t="str">
        <f>IF(OR(I31="",J31=""),"",INDEX('Datos maestros'!$B$153:$F$156,VALUE(LEFT(J31,1)),VALUE(LEFT(I31,1))))</f>
        <v>Medio</v>
      </c>
      <c r="L31" s="12"/>
      <c r="M31" s="10" t="s">
        <v>310</v>
      </c>
      <c r="N31" s="23" t="str">
        <f>IF(A31="","",IF(COUNTIF('Tratamiento de riesgos'!$B:$B,A31)&gt;0,"Sí","No"))</f>
        <v>No</v>
      </c>
      <c r="O31" s="24" t="str">
        <f t="shared" si="0"/>
        <v>✓ Completo</v>
      </c>
    </row>
    <row r="32" spans="1:15" ht="27.6">
      <c r="A32" s="21" t="s">
        <v>503</v>
      </c>
      <c r="B32" s="10" t="s">
        <v>38</v>
      </c>
      <c r="C32" s="22" t="s">
        <v>394</v>
      </c>
      <c r="D32" s="22" t="s">
        <v>69</v>
      </c>
      <c r="E32" s="10" t="s">
        <v>504</v>
      </c>
      <c r="F32" s="10" t="s">
        <v>505</v>
      </c>
      <c r="G32" s="10" t="s">
        <v>506</v>
      </c>
      <c r="H32" s="10" t="s">
        <v>480</v>
      </c>
      <c r="I32" s="10" t="s">
        <v>282</v>
      </c>
      <c r="J32" s="10" t="s">
        <v>296</v>
      </c>
      <c r="K32" s="23" t="str">
        <f>IF(OR(I32="",J32=""),"",INDEX('Datos maestros'!$B$153:$F$156,VALUE(LEFT(J32,1)),VALUE(LEFT(I32,1))))</f>
        <v>Alto</v>
      </c>
      <c r="L32" s="10" t="s">
        <v>507</v>
      </c>
      <c r="M32" s="10" t="s">
        <v>308</v>
      </c>
      <c r="N32" s="23" t="str">
        <f>IF(A32="","",IF(COUNTIF('Tratamiento de riesgos'!$B:$B,A32)&gt;0,"Sí","No"))</f>
        <v>Sí</v>
      </c>
      <c r="O32" s="24" t="str">
        <f t="shared" si="0"/>
        <v>✓ Completo</v>
      </c>
    </row>
    <row r="33" spans="1:15" ht="55.15">
      <c r="A33" s="21" t="s">
        <v>508</v>
      </c>
      <c r="B33" s="10" t="s">
        <v>372</v>
      </c>
      <c r="C33" s="22" t="s">
        <v>394</v>
      </c>
      <c r="D33" s="22" t="s">
        <v>69</v>
      </c>
      <c r="E33" s="10" t="s">
        <v>509</v>
      </c>
      <c r="F33" s="10" t="s">
        <v>510</v>
      </c>
      <c r="G33" s="10" t="s">
        <v>511</v>
      </c>
      <c r="H33" s="10" t="s">
        <v>480</v>
      </c>
      <c r="I33" s="10" t="s">
        <v>284</v>
      </c>
      <c r="J33" s="10" t="s">
        <v>294</v>
      </c>
      <c r="K33" s="23" t="str">
        <f>IF(OR(I33="",J33=""),"",INDEX('Datos maestros'!$B$153:$F$156,VALUE(LEFT(J33,1)),VALUE(LEFT(I33,1))))</f>
        <v>Alto</v>
      </c>
      <c r="L33" s="10" t="s">
        <v>512</v>
      </c>
      <c r="M33" s="10" t="s">
        <v>308</v>
      </c>
      <c r="N33" s="23" t="str">
        <f>IF(A33="","",IF(COUNTIF('Tratamiento de riesgos'!$B:$B,A33)&gt;0,"Sí","No"))</f>
        <v>Sí</v>
      </c>
      <c r="O33" s="24" t="str">
        <f t="shared" si="0"/>
        <v>✓ Completo</v>
      </c>
    </row>
    <row r="34" spans="1:15" ht="41.45">
      <c r="A34" s="21" t="s">
        <v>513</v>
      </c>
      <c r="B34" s="10" t="s">
        <v>365</v>
      </c>
      <c r="C34" s="22" t="s">
        <v>394</v>
      </c>
      <c r="D34" s="22" t="s">
        <v>65</v>
      </c>
      <c r="E34" s="10" t="s">
        <v>514</v>
      </c>
      <c r="F34" s="10" t="s">
        <v>515</v>
      </c>
      <c r="G34" s="10" t="s">
        <v>450</v>
      </c>
      <c r="H34" s="10" t="s">
        <v>516</v>
      </c>
      <c r="I34" s="10" t="s">
        <v>282</v>
      </c>
      <c r="J34" s="10" t="s">
        <v>292</v>
      </c>
      <c r="K34" s="23" t="str">
        <f>IF(OR(I34="",J34=""),"",INDEX('Datos maestros'!$B$153:$F$156,VALUE(LEFT(J34,1)),VALUE(LEFT(I34,1))))</f>
        <v>Bajo</v>
      </c>
      <c r="L34" s="10" t="s">
        <v>517</v>
      </c>
      <c r="M34" s="10" t="s">
        <v>309</v>
      </c>
      <c r="N34" s="23" t="str">
        <f>IF(A34="","",IF(COUNTIF('Tratamiento de riesgos'!$B:$B,A34)&gt;0,"Sí","No"))</f>
        <v>No</v>
      </c>
      <c r="O34" s="24" t="str">
        <f t="shared" si="0"/>
        <v>✓ Completo</v>
      </c>
    </row>
    <row r="35" spans="1:15" ht="27.6">
      <c r="A35" s="21" t="s">
        <v>518</v>
      </c>
      <c r="B35" s="10" t="s">
        <v>372</v>
      </c>
      <c r="C35" s="22" t="s">
        <v>394</v>
      </c>
      <c r="D35" s="22" t="s">
        <v>67</v>
      </c>
      <c r="E35" s="10" t="s">
        <v>519</v>
      </c>
      <c r="F35" s="10" t="s">
        <v>520</v>
      </c>
      <c r="G35" s="10" t="s">
        <v>521</v>
      </c>
      <c r="H35" s="10" t="s">
        <v>398</v>
      </c>
      <c r="I35" s="10" t="s">
        <v>282</v>
      </c>
      <c r="J35" s="10" t="s">
        <v>294</v>
      </c>
      <c r="K35" s="23" t="str">
        <f>IF(OR(I35="",J35=""),"",INDEX('Datos maestros'!$B$153:$F$156,VALUE(LEFT(J35,1)),VALUE(LEFT(I35,1))))</f>
        <v>Medio</v>
      </c>
      <c r="L35" s="10" t="s">
        <v>522</v>
      </c>
      <c r="M35" s="10" t="s">
        <v>310</v>
      </c>
      <c r="N35" s="23" t="str">
        <f>IF(A35="","",IF(COUNTIF('Tratamiento de riesgos'!$B:$B,A35)&gt;0,"Sí","No"))</f>
        <v>No</v>
      </c>
      <c r="O35" s="24" t="str">
        <f t="shared" si="0"/>
        <v>✓ Completo</v>
      </c>
    </row>
    <row r="36" spans="1:15" ht="27.6">
      <c r="A36" s="21" t="s">
        <v>523</v>
      </c>
      <c r="B36" s="10" t="s">
        <v>372</v>
      </c>
      <c r="C36" s="22" t="s">
        <v>394</v>
      </c>
      <c r="D36" s="22" t="s">
        <v>67</v>
      </c>
      <c r="E36" s="10" t="s">
        <v>524</v>
      </c>
      <c r="F36" s="10" t="s">
        <v>525</v>
      </c>
      <c r="G36" s="10" t="s">
        <v>526</v>
      </c>
      <c r="H36" s="10" t="s">
        <v>516</v>
      </c>
      <c r="I36" s="10" t="s">
        <v>282</v>
      </c>
      <c r="J36" s="10" t="s">
        <v>294</v>
      </c>
      <c r="K36" s="23" t="str">
        <f>IF(OR(I36="",J36=""),"",INDEX('Datos maestros'!$B$153:$F$156,VALUE(LEFT(J36,1)),VALUE(LEFT(I36,1))))</f>
        <v>Medio</v>
      </c>
      <c r="L36" s="10" t="s">
        <v>527</v>
      </c>
      <c r="M36" s="10" t="s">
        <v>309</v>
      </c>
      <c r="N36" s="23" t="str">
        <f>IF(A36="","",IF(COUNTIF('Tratamiento de riesgos'!$B:$B,A36)&gt;0,"Sí","No"))</f>
        <v>No</v>
      </c>
      <c r="O36" s="24" t="str">
        <f t="shared" si="0"/>
        <v>✓ Completo</v>
      </c>
    </row>
    <row r="37" spans="1:15" ht="27.6">
      <c r="A37" s="21" t="s">
        <v>528</v>
      </c>
      <c r="B37" s="10" t="s">
        <v>372</v>
      </c>
      <c r="C37" s="22" t="s">
        <v>394</v>
      </c>
      <c r="D37" s="22" t="s">
        <v>63</v>
      </c>
      <c r="E37" s="10" t="s">
        <v>529</v>
      </c>
      <c r="F37" s="10" t="s">
        <v>530</v>
      </c>
      <c r="G37" s="10" t="s">
        <v>386</v>
      </c>
      <c r="H37" s="10" t="s">
        <v>386</v>
      </c>
      <c r="I37" s="10" t="s">
        <v>282</v>
      </c>
      <c r="J37" s="10" t="s">
        <v>294</v>
      </c>
      <c r="K37" s="23" t="str">
        <f>IF(OR(I37="",J37=""),"",INDEX('Datos maestros'!$B$153:$F$156,VALUE(LEFT(J37,1)),VALUE(LEFT(I37,1))))</f>
        <v>Medio</v>
      </c>
      <c r="L37" s="10" t="s">
        <v>522</v>
      </c>
      <c r="M37" s="10" t="s">
        <v>310</v>
      </c>
      <c r="N37" s="23" t="str">
        <f>IF(A37="","",IF(COUNTIF('Tratamiento de riesgos'!$B:$B,A37)&gt;0,"Sí","No"))</f>
        <v>No</v>
      </c>
      <c r="O37" s="24" t="str">
        <f t="shared" ref="O37:O68" si="1">IF(SUM(COUNTBLANK(B37:C37),COUNTBLANK(E37:F37),COUNTBLANK(I37:J37),COUNTBLANK(M37))&gt;0,"⚠ Pendiente de completar","✓ Completo")</f>
        <v>✓ Completo</v>
      </c>
    </row>
    <row r="38" spans="1:15" ht="27.6">
      <c r="A38" s="21" t="s">
        <v>531</v>
      </c>
      <c r="B38" s="10" t="s">
        <v>372</v>
      </c>
      <c r="C38" s="22" t="s">
        <v>394</v>
      </c>
      <c r="D38" s="22" t="s">
        <v>63</v>
      </c>
      <c r="E38" s="10" t="s">
        <v>532</v>
      </c>
      <c r="F38" s="10" t="s">
        <v>533</v>
      </c>
      <c r="G38" s="10" t="s">
        <v>534</v>
      </c>
      <c r="H38" s="10" t="s">
        <v>386</v>
      </c>
      <c r="I38" s="10" t="s">
        <v>284</v>
      </c>
      <c r="J38" s="10" t="s">
        <v>292</v>
      </c>
      <c r="K38" s="23" t="str">
        <f>IF(OR(I38="",J38=""),"",INDEX('Datos maestros'!$B$153:$F$156,VALUE(LEFT(J38,1)),VALUE(LEFT(I38,1))))</f>
        <v>Medio</v>
      </c>
      <c r="L38" s="10" t="s">
        <v>522</v>
      </c>
      <c r="M38" s="10" t="s">
        <v>310</v>
      </c>
      <c r="N38" s="23" t="str">
        <f>IF(A38="","",IF(COUNTIF('Tratamiento de riesgos'!$B:$B,A38)&gt;0,"Sí","No"))</f>
        <v>No</v>
      </c>
      <c r="O38" s="24" t="str">
        <f t="shared" si="1"/>
        <v>✓ Completo</v>
      </c>
    </row>
    <row r="39" spans="1:15" ht="27.6">
      <c r="A39" s="21" t="s">
        <v>535</v>
      </c>
      <c r="B39" s="10" t="s">
        <v>372</v>
      </c>
      <c r="C39" s="22" t="s">
        <v>394</v>
      </c>
      <c r="D39" s="22" t="s">
        <v>71</v>
      </c>
      <c r="E39" s="10" t="s">
        <v>536</v>
      </c>
      <c r="F39" s="10" t="s">
        <v>537</v>
      </c>
      <c r="G39" s="10" t="s">
        <v>538</v>
      </c>
      <c r="H39" s="10" t="s">
        <v>381</v>
      </c>
      <c r="I39" s="10" t="s">
        <v>284</v>
      </c>
      <c r="J39" s="10" t="s">
        <v>294</v>
      </c>
      <c r="K39" s="23" t="str">
        <f>IF(OR(I39="",J39=""),"",INDEX('Datos maestros'!$B$153:$F$156,VALUE(LEFT(J39,1)),VALUE(LEFT(I39,1))))</f>
        <v>Alto</v>
      </c>
      <c r="L39" s="10" t="s">
        <v>522</v>
      </c>
      <c r="M39" s="10" t="s">
        <v>310</v>
      </c>
      <c r="N39" s="23" t="str">
        <f>IF(A39="","",IF(COUNTIF('Tratamiento de riesgos'!$B:$B,A39)&gt;0,"Sí","No"))</f>
        <v>Sí</v>
      </c>
      <c r="O39" s="24" t="str">
        <f t="shared" si="1"/>
        <v>✓ Completo</v>
      </c>
    </row>
    <row r="40" spans="1:15" ht="27.6">
      <c r="A40" s="21" t="s">
        <v>539</v>
      </c>
      <c r="B40" s="10" t="s">
        <v>372</v>
      </c>
      <c r="C40" s="22" t="s">
        <v>394</v>
      </c>
      <c r="D40" s="22" t="s">
        <v>65</v>
      </c>
      <c r="E40" s="10" t="s">
        <v>540</v>
      </c>
      <c r="F40" s="10" t="s">
        <v>541</v>
      </c>
      <c r="G40" s="10" t="s">
        <v>542</v>
      </c>
      <c r="H40" s="10" t="s">
        <v>516</v>
      </c>
      <c r="I40" s="10" t="s">
        <v>280</v>
      </c>
      <c r="J40" s="10" t="s">
        <v>290</v>
      </c>
      <c r="K40" s="23" t="str">
        <f>IF(OR(I40="",J40=""),"",INDEX('Datos maestros'!$B$153:$F$156,VALUE(LEFT(J40,1)),VALUE(LEFT(I40,1))))</f>
        <v>Muy bajo</v>
      </c>
      <c r="L40" s="10" t="s">
        <v>543</v>
      </c>
      <c r="M40" s="10" t="s">
        <v>309</v>
      </c>
      <c r="N40" s="23" t="str">
        <f>IF(A40="","",IF(COUNTIF('Tratamiento de riesgos'!$B:$B,A40)&gt;0,"Sí","No"))</f>
        <v>No</v>
      </c>
      <c r="O40" s="24" t="str">
        <f t="shared" si="1"/>
        <v>✓ Completo</v>
      </c>
    </row>
    <row r="41" spans="1:15" ht="27.6">
      <c r="A41" s="21" t="s">
        <v>544</v>
      </c>
      <c r="B41" s="10" t="s">
        <v>372</v>
      </c>
      <c r="C41" s="22" t="s">
        <v>394</v>
      </c>
      <c r="D41" s="22" t="s">
        <v>65</v>
      </c>
      <c r="E41" s="10" t="s">
        <v>545</v>
      </c>
      <c r="F41" s="10" t="s">
        <v>546</v>
      </c>
      <c r="G41" s="10" t="s">
        <v>547</v>
      </c>
      <c r="H41" s="10" t="s">
        <v>516</v>
      </c>
      <c r="I41" s="10" t="s">
        <v>282</v>
      </c>
      <c r="J41" s="10" t="s">
        <v>294</v>
      </c>
      <c r="K41" s="23" t="str">
        <f>IF(OR(I41="",J41=""),"",INDEX('Datos maestros'!$B$153:$F$156,VALUE(LEFT(J41,1)),VALUE(LEFT(I41,1))))</f>
        <v>Medio</v>
      </c>
      <c r="L41" s="10" t="s">
        <v>548</v>
      </c>
      <c r="M41" s="10" t="s">
        <v>309</v>
      </c>
      <c r="N41" s="23" t="str">
        <f>IF(A41="","",IF(COUNTIF('Tratamiento de riesgos'!$B:$B,A41)&gt;0,"Sí","No"))</f>
        <v>No</v>
      </c>
      <c r="O41" s="24" t="str">
        <f t="shared" si="1"/>
        <v>✓ Completo</v>
      </c>
    </row>
    <row r="42" spans="1:15" ht="27.6">
      <c r="A42" s="21" t="s">
        <v>549</v>
      </c>
      <c r="B42" s="10" t="s">
        <v>372</v>
      </c>
      <c r="C42" s="22" t="s">
        <v>53</v>
      </c>
      <c r="D42" s="22" t="s">
        <v>65</v>
      </c>
      <c r="E42" s="10" t="s">
        <v>550</v>
      </c>
      <c r="F42" s="10" t="s">
        <v>551</v>
      </c>
      <c r="G42" s="10" t="s">
        <v>547</v>
      </c>
      <c r="H42" s="10" t="s">
        <v>516</v>
      </c>
      <c r="I42" s="10" t="s">
        <v>282</v>
      </c>
      <c r="J42" s="10" t="s">
        <v>294</v>
      </c>
      <c r="K42" s="23" t="str">
        <f>IF(OR(I42="",J42=""),"",INDEX('Datos maestros'!$B$153:$F$156,VALUE(LEFT(J42,1)),VALUE(LEFT(I42,1))))</f>
        <v>Medio</v>
      </c>
      <c r="L42" s="10" t="s">
        <v>548</v>
      </c>
      <c r="M42" s="10" t="s">
        <v>309</v>
      </c>
      <c r="N42" s="23" t="str">
        <f>IF(A42="","",IF(COUNTIF('Tratamiento de riesgos'!$B:$B,A42)&gt;0,"Sí","No"))</f>
        <v>No</v>
      </c>
      <c r="O42" s="24" t="str">
        <f t="shared" si="1"/>
        <v>✓ Completo</v>
      </c>
    </row>
    <row r="43" spans="1:15" ht="27.6">
      <c r="A43" s="21" t="s">
        <v>552</v>
      </c>
      <c r="B43" s="10" t="s">
        <v>365</v>
      </c>
      <c r="C43" s="22" t="s">
        <v>53</v>
      </c>
      <c r="D43" s="22" t="s">
        <v>65</v>
      </c>
      <c r="E43" s="10" t="s">
        <v>553</v>
      </c>
      <c r="F43" s="10" t="s">
        <v>554</v>
      </c>
      <c r="G43" s="10" t="s">
        <v>555</v>
      </c>
      <c r="H43" s="10" t="s">
        <v>556</v>
      </c>
      <c r="I43" s="10" t="s">
        <v>284</v>
      </c>
      <c r="J43" s="10" t="s">
        <v>294</v>
      </c>
      <c r="K43" s="23" t="str">
        <f>IF(OR(I43="",J43=""),"",INDEX('Datos maestros'!$B$153:$F$156,VALUE(LEFT(J43,1)),VALUE(LEFT(I43,1))))</f>
        <v>Alto</v>
      </c>
      <c r="L43" s="10" t="s">
        <v>557</v>
      </c>
      <c r="M43" s="10" t="s">
        <v>308</v>
      </c>
      <c r="N43" s="23" t="str">
        <f>IF(A43="","",IF(COUNTIF('Tratamiento de riesgos'!$B:$B,A43)&gt;0,"Sí","No"))</f>
        <v>Sí</v>
      </c>
      <c r="O43" s="24" t="str">
        <f t="shared" si="1"/>
        <v>✓ Completo</v>
      </c>
    </row>
    <row r="44" spans="1:15" ht="27.6">
      <c r="A44" s="21" t="s">
        <v>558</v>
      </c>
      <c r="B44" s="10" t="s">
        <v>365</v>
      </c>
      <c r="C44" s="22" t="s">
        <v>394</v>
      </c>
      <c r="D44" s="22" t="s">
        <v>67</v>
      </c>
      <c r="E44" s="10" t="s">
        <v>559</v>
      </c>
      <c r="F44" s="10" t="s">
        <v>560</v>
      </c>
      <c r="G44" s="10" t="s">
        <v>561</v>
      </c>
      <c r="H44" s="10" t="s">
        <v>562</v>
      </c>
      <c r="I44" s="10" t="s">
        <v>284</v>
      </c>
      <c r="J44" s="10" t="s">
        <v>296</v>
      </c>
      <c r="K44" s="23" t="str">
        <f>IF(OR(I44="",J44=""),"",INDEX('Datos maestros'!$B$153:$F$156,VALUE(LEFT(J44,1)),VALUE(LEFT(I44,1))))</f>
        <v>Alto</v>
      </c>
      <c r="L44" s="10" t="s">
        <v>563</v>
      </c>
      <c r="M44" s="10" t="s">
        <v>320</v>
      </c>
      <c r="N44" s="23" t="str">
        <f>IF(A44="","",IF(COUNTIF('Tratamiento de riesgos'!$B:$B,A44)&gt;0,"Sí","No"))</f>
        <v>Sí</v>
      </c>
      <c r="O44" s="24" t="str">
        <f t="shared" si="1"/>
        <v>✓ Completo</v>
      </c>
    </row>
    <row r="45" spans="1:15" ht="27.6">
      <c r="A45" s="21" t="s">
        <v>564</v>
      </c>
      <c r="B45" s="10" t="s">
        <v>38</v>
      </c>
      <c r="C45" s="22" t="s">
        <v>53</v>
      </c>
      <c r="D45" s="22" t="s">
        <v>63</v>
      </c>
      <c r="E45" s="10" t="s">
        <v>565</v>
      </c>
      <c r="F45" s="10" t="s">
        <v>566</v>
      </c>
      <c r="G45" s="12"/>
      <c r="H45" s="10" t="s">
        <v>567</v>
      </c>
      <c r="I45" s="10" t="s">
        <v>282</v>
      </c>
      <c r="J45" s="10" t="s">
        <v>294</v>
      </c>
      <c r="K45" s="23" t="str">
        <f>IF(OR(I45="",J45=""),"",INDEX('Datos maestros'!$B$153:$F$156,VALUE(LEFT(J45,1)),VALUE(LEFT(I45,1))))</f>
        <v>Medio</v>
      </c>
      <c r="L45" s="12"/>
      <c r="M45" s="10" t="s">
        <v>308</v>
      </c>
      <c r="N45" s="23" t="str">
        <f>IF(A45="","",IF(COUNTIF('Tratamiento de riesgos'!$B:$B,A45)&gt;0,"Sí","No"))</f>
        <v>No</v>
      </c>
      <c r="O45" s="24" t="str">
        <f t="shared" si="1"/>
        <v>✓ Completo</v>
      </c>
    </row>
    <row r="46" spans="1:15" ht="27.6">
      <c r="A46" s="21" t="s">
        <v>568</v>
      </c>
      <c r="B46" s="10" t="s">
        <v>38</v>
      </c>
      <c r="C46" s="22" t="s">
        <v>53</v>
      </c>
      <c r="D46" s="22" t="s">
        <v>63</v>
      </c>
      <c r="E46" s="10" t="s">
        <v>569</v>
      </c>
      <c r="F46" s="10" t="s">
        <v>570</v>
      </c>
      <c r="G46" s="12"/>
      <c r="H46" s="10" t="s">
        <v>567</v>
      </c>
      <c r="I46" s="10" t="s">
        <v>284</v>
      </c>
      <c r="J46" s="10" t="s">
        <v>296</v>
      </c>
      <c r="K46" s="23" t="str">
        <f>IF(OR(I46="",J46=""),"",INDEX('Datos maestros'!$B$153:$F$156,VALUE(LEFT(J46,1)),VALUE(LEFT(I46,1))))</f>
        <v>Alto</v>
      </c>
      <c r="L46" s="10" t="s">
        <v>571</v>
      </c>
      <c r="M46" s="10" t="s">
        <v>329</v>
      </c>
      <c r="N46" s="23" t="str">
        <f>IF(A46="","",IF(COUNTIF('Tratamiento de riesgos'!$B:$B,A46)&gt;0,"Sí","No"))</f>
        <v>Sí</v>
      </c>
      <c r="O46" s="24" t="str">
        <f t="shared" si="1"/>
        <v>✓ Completo</v>
      </c>
    </row>
    <row r="47" spans="1:15" ht="27.6">
      <c r="A47" s="21" t="s">
        <v>572</v>
      </c>
      <c r="B47" s="10" t="s">
        <v>372</v>
      </c>
      <c r="C47" s="22" t="s">
        <v>394</v>
      </c>
      <c r="D47" s="22" t="s">
        <v>67</v>
      </c>
      <c r="E47" s="10" t="s">
        <v>573</v>
      </c>
      <c r="F47" s="10" t="s">
        <v>574</v>
      </c>
      <c r="G47" s="12"/>
      <c r="H47" s="10" t="s">
        <v>575</v>
      </c>
      <c r="I47" s="10" t="s">
        <v>284</v>
      </c>
      <c r="J47" s="10" t="s">
        <v>294</v>
      </c>
      <c r="K47" s="23" t="str">
        <f>IF(OR(I47="",J47=""),"",INDEX('Datos maestros'!$B$153:$F$156,VALUE(LEFT(J47,1)),VALUE(LEFT(I47,1))))</f>
        <v>Alto</v>
      </c>
      <c r="L47" s="12"/>
      <c r="M47" s="10" t="s">
        <v>310</v>
      </c>
      <c r="N47" s="23" t="str">
        <f>IF(A47="","",IF(COUNTIF('Tratamiento de riesgos'!$B:$B,A47)&gt;0,"Sí","No"))</f>
        <v>Sí</v>
      </c>
      <c r="O47" s="24" t="str">
        <f t="shared" si="1"/>
        <v>✓ Completo</v>
      </c>
    </row>
    <row r="48" spans="1:15" ht="41.45">
      <c r="A48" s="21" t="s">
        <v>576</v>
      </c>
      <c r="B48" s="10" t="s">
        <v>38</v>
      </c>
      <c r="C48" s="22" t="s">
        <v>394</v>
      </c>
      <c r="D48" s="22" t="s">
        <v>69</v>
      </c>
      <c r="E48" s="10" t="s">
        <v>577</v>
      </c>
      <c r="F48" s="10" t="s">
        <v>578</v>
      </c>
      <c r="G48" s="12"/>
      <c r="H48" s="10" t="s">
        <v>579</v>
      </c>
      <c r="I48" s="10" t="s">
        <v>284</v>
      </c>
      <c r="J48" s="10" t="s">
        <v>294</v>
      </c>
      <c r="K48" s="23" t="str">
        <f>IF(OR(I48="",J48=""),"",INDEX('Datos maestros'!$B$153:$F$156,VALUE(LEFT(J48,1)),VALUE(LEFT(I48,1))))</f>
        <v>Alto</v>
      </c>
      <c r="L48" s="12"/>
      <c r="M48" s="10" t="s">
        <v>325</v>
      </c>
      <c r="N48" s="23" t="str">
        <f>IF(A48="","",IF(COUNTIF('Tratamiento de riesgos'!$B:$B,A48)&gt;0,"Sí","No"))</f>
        <v>Sí</v>
      </c>
      <c r="O48" s="24" t="str">
        <f t="shared" si="1"/>
        <v>✓ Completo</v>
      </c>
    </row>
    <row r="49" spans="1:15" ht="41.45">
      <c r="A49" s="21" t="s">
        <v>580</v>
      </c>
      <c r="B49" s="10" t="s">
        <v>38</v>
      </c>
      <c r="C49" s="22" t="s">
        <v>394</v>
      </c>
      <c r="D49" s="22" t="s">
        <v>69</v>
      </c>
      <c r="E49" s="10" t="s">
        <v>581</v>
      </c>
      <c r="F49" s="10" t="s">
        <v>582</v>
      </c>
      <c r="G49" s="12"/>
      <c r="H49" s="10" t="s">
        <v>583</v>
      </c>
      <c r="I49" s="10" t="s">
        <v>284</v>
      </c>
      <c r="J49" s="10" t="s">
        <v>294</v>
      </c>
      <c r="K49" s="23" t="str">
        <f>IF(OR(I49="",J49=""),"",INDEX('Datos maestros'!$B$153:$F$156,VALUE(LEFT(J49,1)),VALUE(LEFT(I49,1))))</f>
        <v>Alto</v>
      </c>
      <c r="L49" s="10" t="s">
        <v>584</v>
      </c>
      <c r="M49" s="10" t="s">
        <v>325</v>
      </c>
      <c r="N49" s="23" t="str">
        <f>IF(A49="","",IF(COUNTIF('Tratamiento de riesgos'!$B:$B,A49)&gt;0,"Sí","No"))</f>
        <v>Sí</v>
      </c>
      <c r="O49" s="24" t="str">
        <f t="shared" si="1"/>
        <v>✓ Completo</v>
      </c>
    </row>
    <row r="50" spans="1:15" ht="41.45">
      <c r="A50" s="21" t="s">
        <v>585</v>
      </c>
      <c r="B50" s="10" t="s">
        <v>38</v>
      </c>
      <c r="C50" s="22" t="s">
        <v>394</v>
      </c>
      <c r="D50" s="22" t="s">
        <v>69</v>
      </c>
      <c r="E50" s="10" t="s">
        <v>586</v>
      </c>
      <c r="F50" s="10" t="s">
        <v>587</v>
      </c>
      <c r="G50" s="12"/>
      <c r="H50" s="10" t="s">
        <v>583</v>
      </c>
      <c r="I50" s="10" t="s">
        <v>284</v>
      </c>
      <c r="J50" s="10" t="s">
        <v>294</v>
      </c>
      <c r="K50" s="23" t="str">
        <f>IF(OR(I50="",J50=""),"",INDEX('Datos maestros'!$B$153:$F$156,VALUE(LEFT(J50,1)),VALUE(LEFT(I50,1))))</f>
        <v>Alto</v>
      </c>
      <c r="L50" s="12"/>
      <c r="M50" s="10" t="s">
        <v>325</v>
      </c>
      <c r="N50" s="23" t="str">
        <f>IF(A50="","",IF(COUNTIF('Tratamiento de riesgos'!$B:$B,A50)&gt;0,"Sí","No"))</f>
        <v>Sí</v>
      </c>
      <c r="O50" s="24" t="str">
        <f t="shared" si="1"/>
        <v>✓ Completo</v>
      </c>
    </row>
    <row r="51" spans="1:15" ht="41.45">
      <c r="A51" s="21" t="s">
        <v>588</v>
      </c>
      <c r="B51" s="10" t="s">
        <v>372</v>
      </c>
      <c r="C51" s="22" t="s">
        <v>53</v>
      </c>
      <c r="D51" s="22" t="s">
        <v>65</v>
      </c>
      <c r="E51" s="10" t="s">
        <v>569</v>
      </c>
      <c r="F51" s="10" t="s">
        <v>589</v>
      </c>
      <c r="G51" s="12"/>
      <c r="H51" s="10" t="s">
        <v>590</v>
      </c>
      <c r="I51" s="10" t="s">
        <v>282</v>
      </c>
      <c r="J51" s="10" t="s">
        <v>294</v>
      </c>
      <c r="K51" s="23" t="str">
        <f>IF(OR(I51="",J51=""),"",INDEX('Datos maestros'!$B$153:$F$156,VALUE(LEFT(J51,1)),VALUE(LEFT(I51,1))))</f>
        <v>Medio</v>
      </c>
      <c r="L51" s="12"/>
      <c r="M51" s="10" t="s">
        <v>310</v>
      </c>
      <c r="N51" s="23" t="str">
        <f>IF(A51="","",IF(COUNTIF('Tratamiento de riesgos'!$B:$B,A51)&gt;0,"Sí","No"))</f>
        <v>No</v>
      </c>
      <c r="O51" s="24" t="str">
        <f t="shared" si="1"/>
        <v>✓ Completo</v>
      </c>
    </row>
    <row r="52" spans="1:15" ht="27.6">
      <c r="A52" s="21" t="s">
        <v>591</v>
      </c>
      <c r="B52" s="10" t="s">
        <v>372</v>
      </c>
      <c r="C52" s="22" t="s">
        <v>394</v>
      </c>
      <c r="D52" s="22" t="s">
        <v>71</v>
      </c>
      <c r="E52" s="10" t="s">
        <v>592</v>
      </c>
      <c r="F52" s="10" t="s">
        <v>593</v>
      </c>
      <c r="G52" s="12"/>
      <c r="H52" s="10" t="s">
        <v>594</v>
      </c>
      <c r="I52" s="10" t="s">
        <v>284</v>
      </c>
      <c r="J52" s="10" t="s">
        <v>296</v>
      </c>
      <c r="K52" s="23" t="str">
        <f>IF(OR(I52="",J52=""),"",INDEX('Datos maestros'!$B$153:$F$156,VALUE(LEFT(J52,1)),VALUE(LEFT(I52,1))))</f>
        <v>Alto</v>
      </c>
      <c r="L52" s="10" t="s">
        <v>595</v>
      </c>
      <c r="M52" s="10" t="s">
        <v>310</v>
      </c>
      <c r="N52" s="23" t="str">
        <f>IF(A52="","",IF(COUNTIF('Tratamiento de riesgos'!$B:$B,A52)&gt;0,"Sí","No"))</f>
        <v>Sí</v>
      </c>
      <c r="O52" s="24" t="str">
        <f t="shared" si="1"/>
        <v>✓ Completo</v>
      </c>
    </row>
    <row r="53" spans="1:15" ht="41.45">
      <c r="A53" s="21" t="s">
        <v>596</v>
      </c>
      <c r="B53" s="10" t="s">
        <v>372</v>
      </c>
      <c r="C53" s="22" t="s">
        <v>51</v>
      </c>
      <c r="D53" s="22" t="s">
        <v>71</v>
      </c>
      <c r="E53" s="10" t="s">
        <v>498</v>
      </c>
      <c r="F53" s="10" t="s">
        <v>597</v>
      </c>
      <c r="G53" s="12"/>
      <c r="H53" s="10" t="s">
        <v>598</v>
      </c>
      <c r="I53" s="10" t="s">
        <v>284</v>
      </c>
      <c r="J53" s="10" t="s">
        <v>294</v>
      </c>
      <c r="K53" s="23" t="str">
        <f>IF(OR(I53="",J53=""),"",INDEX('Datos maestros'!$B$153:$F$156,VALUE(LEFT(J53,1)),VALUE(LEFT(I53,1))))</f>
        <v>Alto</v>
      </c>
      <c r="L53" s="10" t="s">
        <v>599</v>
      </c>
      <c r="M53" s="10" t="s">
        <v>308</v>
      </c>
      <c r="N53" s="23" t="str">
        <f>IF(A53="","",IF(COUNTIF('Tratamiento de riesgos'!$B:$B,A53)&gt;0,"Sí","No"))</f>
        <v>Sí</v>
      </c>
      <c r="O53" s="24" t="str">
        <f t="shared" si="1"/>
        <v>✓ Completo</v>
      </c>
    </row>
    <row r="54" spans="1:15" ht="27.6">
      <c r="A54" s="21" t="s">
        <v>600</v>
      </c>
      <c r="B54" s="10" t="s">
        <v>365</v>
      </c>
      <c r="C54" s="22" t="s">
        <v>53</v>
      </c>
      <c r="D54" s="22" t="s">
        <v>63</v>
      </c>
      <c r="E54" s="10" t="s">
        <v>601</v>
      </c>
      <c r="F54" s="10" t="s">
        <v>602</v>
      </c>
      <c r="G54" s="12"/>
      <c r="H54" s="10" t="s">
        <v>386</v>
      </c>
      <c r="I54" s="10" t="s">
        <v>282</v>
      </c>
      <c r="J54" s="10" t="s">
        <v>294</v>
      </c>
      <c r="K54" s="23" t="str">
        <f>IF(OR(I54="",J54=""),"",INDEX('Datos maestros'!$B$153:$F$156,VALUE(LEFT(J54,1)),VALUE(LEFT(I54,1))))</f>
        <v>Medio</v>
      </c>
      <c r="L54" s="12"/>
      <c r="M54" s="10" t="s">
        <v>308</v>
      </c>
      <c r="N54" s="23" t="str">
        <f>IF(A54="","",IF(COUNTIF('Tratamiento de riesgos'!$B:$B,A54)&gt;0,"Sí","No"))</f>
        <v>Sí</v>
      </c>
      <c r="O54" s="24" t="str">
        <f t="shared" si="1"/>
        <v>✓ Completo</v>
      </c>
    </row>
    <row r="55" spans="1:15" ht="41.45">
      <c r="A55" s="21" t="s">
        <v>603</v>
      </c>
      <c r="B55" s="10" t="s">
        <v>372</v>
      </c>
      <c r="C55" s="22" t="s">
        <v>394</v>
      </c>
      <c r="D55" s="22" t="s">
        <v>67</v>
      </c>
      <c r="E55" s="10" t="s">
        <v>604</v>
      </c>
      <c r="F55" s="10" t="s">
        <v>605</v>
      </c>
      <c r="G55" s="12"/>
      <c r="H55" s="10" t="s">
        <v>606</v>
      </c>
      <c r="I55" s="10" t="s">
        <v>607</v>
      </c>
      <c r="J55" s="10" t="s">
        <v>608</v>
      </c>
      <c r="K55" s="23" t="str">
        <f>IF(OR(I55="",J55=""),"",INDEX('Datos maestros'!$B$153:$F$156,VALUE(LEFT(J55,1)),VALUE(LEFT(I55,1))))</f>
        <v>Alto</v>
      </c>
      <c r="L55" s="10" t="s">
        <v>609</v>
      </c>
      <c r="M55" s="10" t="s">
        <v>319</v>
      </c>
      <c r="N55" s="23" t="str">
        <f>IF(A55="","",IF(COUNTIF('Tratamiento de riesgos'!$B:$B,A55)&gt;0,"Sí","No"))</f>
        <v>No</v>
      </c>
      <c r="O55" s="24" t="str">
        <f t="shared" si="1"/>
        <v>✓ Completo</v>
      </c>
    </row>
    <row r="56" spans="1:15" ht="27.6">
      <c r="A56" s="21" t="s">
        <v>610</v>
      </c>
      <c r="B56" s="12"/>
      <c r="C56" s="22" t="s">
        <v>394</v>
      </c>
      <c r="D56" s="22" t="s">
        <v>71</v>
      </c>
      <c r="E56" s="10" t="s">
        <v>611</v>
      </c>
      <c r="F56" s="10" t="s">
        <v>612</v>
      </c>
      <c r="G56" s="12"/>
      <c r="H56" s="10" t="s">
        <v>594</v>
      </c>
      <c r="I56" s="12"/>
      <c r="J56" s="12"/>
      <c r="K56" s="23" t="str">
        <f>IF(OR(I56="",J56=""),"",INDEX('Datos maestros'!$B$153:$F$156,VALUE(LEFT(J56,1)),VALUE(LEFT(I56,1))))</f>
        <v/>
      </c>
      <c r="L56" s="12"/>
      <c r="M56" s="12"/>
      <c r="N56" s="23" t="str">
        <f>IF(A56="","",IF(COUNTIF('Tratamiento de riesgos'!$B:$B,A56)&gt;0,"Sí","No"))</f>
        <v>No</v>
      </c>
      <c r="O56" s="24" t="str">
        <f t="shared" si="1"/>
        <v>⚠ Pendiente de completar</v>
      </c>
    </row>
    <row r="57" spans="1:15" ht="27.6">
      <c r="A57" s="21" t="s">
        <v>613</v>
      </c>
      <c r="B57" s="12"/>
      <c r="C57" s="22" t="s">
        <v>394</v>
      </c>
      <c r="D57" s="22" t="s">
        <v>71</v>
      </c>
      <c r="E57" s="10" t="s">
        <v>614</v>
      </c>
      <c r="F57" s="10" t="s">
        <v>615</v>
      </c>
      <c r="G57" s="12"/>
      <c r="H57" s="10" t="s">
        <v>594</v>
      </c>
      <c r="I57" s="12"/>
      <c r="J57" s="12"/>
      <c r="K57" s="23" t="str">
        <f>IF(OR(I57="",J57=""),"",INDEX('Datos maestros'!$B$153:$F$156,VALUE(LEFT(J57,1)),VALUE(LEFT(I57,1))))</f>
        <v/>
      </c>
      <c r="L57" s="12"/>
      <c r="M57" s="12"/>
      <c r="N57" s="23" t="str">
        <f>IF(A57="","",IF(COUNTIF('Tratamiento de riesgos'!$B:$B,A57)&gt;0,"Sí","No"))</f>
        <v>No</v>
      </c>
      <c r="O57" s="24" t="str">
        <f t="shared" si="1"/>
        <v>⚠ Pendiente de completar</v>
      </c>
    </row>
    <row r="58" spans="1:15" ht="27.6">
      <c r="A58" s="21" t="s">
        <v>616</v>
      </c>
      <c r="B58" s="12"/>
      <c r="C58" s="22" t="s">
        <v>394</v>
      </c>
      <c r="D58" s="22" t="s">
        <v>67</v>
      </c>
      <c r="E58" s="10" t="s">
        <v>617</v>
      </c>
      <c r="F58" s="10" t="s">
        <v>618</v>
      </c>
      <c r="G58" s="10" t="s">
        <v>619</v>
      </c>
      <c r="H58" s="10" t="s">
        <v>619</v>
      </c>
      <c r="I58" s="12"/>
      <c r="J58" s="12"/>
      <c r="K58" s="23" t="str">
        <f>IF(OR(I58="",J58=""),"",INDEX('Datos maestros'!$B$153:$F$156,VALUE(LEFT(J58,1)),VALUE(LEFT(I58,1))))</f>
        <v/>
      </c>
      <c r="L58" s="12"/>
      <c r="M58" s="12"/>
      <c r="N58" s="23" t="str">
        <f>IF(A58="","",IF(COUNTIF('Tratamiento de riesgos'!$B:$B,A58)&gt;0,"Sí","No"))</f>
        <v>No</v>
      </c>
      <c r="O58" s="24" t="str">
        <f t="shared" si="1"/>
        <v>⚠ Pendiente de completar</v>
      </c>
    </row>
    <row r="59" spans="1:15" ht="27.6">
      <c r="A59" s="21" t="s">
        <v>620</v>
      </c>
      <c r="B59" s="12"/>
      <c r="C59" s="22" t="s">
        <v>394</v>
      </c>
      <c r="D59" s="22" t="s">
        <v>67</v>
      </c>
      <c r="E59" s="10" t="s">
        <v>621</v>
      </c>
      <c r="F59" s="10" t="s">
        <v>622</v>
      </c>
      <c r="G59" s="12"/>
      <c r="H59" s="10" t="s">
        <v>623</v>
      </c>
      <c r="I59" s="12"/>
      <c r="J59" s="12"/>
      <c r="K59" s="23" t="str">
        <f>IF(OR(I59="",J59=""),"",INDEX('Datos maestros'!$B$153:$F$156,VALUE(LEFT(J59,1)),VALUE(LEFT(I59,1))))</f>
        <v/>
      </c>
      <c r="L59" s="12"/>
      <c r="M59" s="12"/>
      <c r="N59" s="23" t="str">
        <f>IF(A59="","",IF(COUNTIF('Tratamiento de riesgos'!$B:$B,A59)&gt;0,"Sí","No"))</f>
        <v>No</v>
      </c>
      <c r="O59" s="24" t="str">
        <f t="shared" si="1"/>
        <v>⚠ Pendiente de completar</v>
      </c>
    </row>
    <row r="60" spans="1:15" ht="41.45">
      <c r="A60" s="21" t="s">
        <v>624</v>
      </c>
      <c r="B60" s="12" t="s">
        <v>39</v>
      </c>
      <c r="C60" s="22" t="s">
        <v>55</v>
      </c>
      <c r="D60" s="22" t="s">
        <v>67</v>
      </c>
      <c r="E60" s="10" t="s">
        <v>625</v>
      </c>
      <c r="F60" s="10" t="s">
        <v>626</v>
      </c>
      <c r="G60" s="12"/>
      <c r="H60" s="10" t="s">
        <v>627</v>
      </c>
      <c r="I60" s="12"/>
      <c r="J60" s="12"/>
      <c r="K60" s="23" t="str">
        <f>IF(OR(I60="",J60=""),"",INDEX('Datos maestros'!$B$153:$F$156,VALUE(LEFT(J60,1)),VALUE(LEFT(I60,1))))</f>
        <v/>
      </c>
      <c r="L60" s="12"/>
      <c r="M60" s="12"/>
      <c r="N60" s="23" t="str">
        <f>IF(A60="","",IF(COUNTIF('Tratamiento de riesgos'!$B:$B,A60)&gt;0,"Sí","No"))</f>
        <v>No</v>
      </c>
      <c r="O60" s="24" t="str">
        <f t="shared" si="1"/>
        <v>⚠ Pendiente de completar</v>
      </c>
    </row>
    <row r="61" spans="1:15" ht="124.15">
      <c r="A61" s="10" t="str">
        <f t="shared" ref="A61:A80" si="2">IF(SUM(COUNTBLANK(B61:C61),COUNTBLANK(E61:F61))=4,"","R"&amp;TEXT(ROW()-4,"00"))</f>
        <v>R57</v>
      </c>
      <c r="B61" s="12" t="s">
        <v>46</v>
      </c>
      <c r="C61" s="22" t="s">
        <v>55</v>
      </c>
      <c r="D61" s="22" t="s">
        <v>67</v>
      </c>
      <c r="E61" s="10" t="s">
        <v>628</v>
      </c>
      <c r="F61" s="10"/>
      <c r="G61" s="10"/>
      <c r="H61" s="10"/>
      <c r="I61" s="10"/>
      <c r="J61" s="10"/>
      <c r="K61" s="25" t="str">
        <f>IF(OR(I61="",J61=""),"",INDEX('Datos maestros'!$B$153:$F$156,VALUE(LEFT(J61,1)),VALUE(LEFT(I61,1))))</f>
        <v/>
      </c>
      <c r="L61" s="10"/>
      <c r="M61" s="10"/>
      <c r="N61" s="25" t="str">
        <f>IF(A61="","",IF(COUNTIF('Tratamiento de riesgos'!$B:$B,A61)&gt;0,"Sí","No"))</f>
        <v>No</v>
      </c>
      <c r="O61" s="24" t="str">
        <f t="shared" si="1"/>
        <v>⚠ Pendiente de completar</v>
      </c>
    </row>
    <row r="62" spans="1:15" ht="24">
      <c r="A62" s="10" t="str">
        <f t="shared" si="2"/>
        <v/>
      </c>
      <c r="B62" s="10"/>
      <c r="C62" s="10"/>
      <c r="D62" s="10"/>
      <c r="E62" s="10"/>
      <c r="F62" s="10"/>
      <c r="G62" s="10"/>
      <c r="H62" s="10"/>
      <c r="I62" s="10"/>
      <c r="J62" s="10"/>
      <c r="K62" s="25" t="str">
        <f>IF(OR(I62="",J62=""),"",INDEX('Datos maestros'!$B$153:$F$156,VALUE(LEFT(J62,1)),VALUE(LEFT(I62,1))))</f>
        <v/>
      </c>
      <c r="L62" s="10"/>
      <c r="M62" s="10"/>
      <c r="N62" s="25" t="str">
        <f>IF(A62="","",IF(COUNTIF('Tratamiento de riesgos'!$B:$B,A62)&gt;0,"Sí","No"))</f>
        <v/>
      </c>
      <c r="O62" s="24" t="str">
        <f t="shared" si="1"/>
        <v>⚠ Pendiente de completar</v>
      </c>
    </row>
    <row r="63" spans="1:15" ht="24">
      <c r="A63" s="10" t="str">
        <f t="shared" si="2"/>
        <v/>
      </c>
      <c r="B63" s="10"/>
      <c r="C63" s="10"/>
      <c r="D63" s="10"/>
      <c r="E63" s="10"/>
      <c r="F63" s="10"/>
      <c r="G63" s="10"/>
      <c r="H63" s="10"/>
      <c r="I63" s="10"/>
      <c r="J63" s="10"/>
      <c r="K63" s="25" t="str">
        <f>IF(OR(I63="",J63=""),"",INDEX('Datos maestros'!$B$153:$F$156,VALUE(LEFT(J63,1)),VALUE(LEFT(I63,1))))</f>
        <v/>
      </c>
      <c r="L63" s="10"/>
      <c r="M63" s="10"/>
      <c r="N63" s="25" t="str">
        <f>IF(A63="","",IF(COUNTIF('Tratamiento de riesgos'!$B:$B,A63)&gt;0,"Sí","No"))</f>
        <v/>
      </c>
      <c r="O63" s="24" t="str">
        <f t="shared" si="1"/>
        <v>⚠ Pendiente de completar</v>
      </c>
    </row>
    <row r="64" spans="1:15" ht="24">
      <c r="A64" s="10" t="str">
        <f t="shared" si="2"/>
        <v/>
      </c>
      <c r="B64" s="10"/>
      <c r="C64" s="10"/>
      <c r="D64" s="10"/>
      <c r="E64" s="10"/>
      <c r="F64" s="10"/>
      <c r="G64" s="10"/>
      <c r="H64" s="10"/>
      <c r="I64" s="10"/>
      <c r="J64" s="10"/>
      <c r="K64" s="25" t="str">
        <f>IF(OR(I64="",J64=""),"",INDEX('Datos maestros'!$B$153:$F$156,VALUE(LEFT(J64,1)),VALUE(LEFT(I64,1))))</f>
        <v/>
      </c>
      <c r="L64" s="10"/>
      <c r="M64" s="10"/>
      <c r="N64" s="25" t="str">
        <f>IF(A64="","",IF(COUNTIF('Tratamiento de riesgos'!$B:$B,A64)&gt;0,"Sí","No"))</f>
        <v/>
      </c>
      <c r="O64" s="24" t="str">
        <f t="shared" si="1"/>
        <v>⚠ Pendiente de completar</v>
      </c>
    </row>
    <row r="65" spans="1:15" ht="24">
      <c r="A65" s="10" t="str">
        <f t="shared" si="2"/>
        <v/>
      </c>
      <c r="B65" s="10"/>
      <c r="C65" s="10"/>
      <c r="D65" s="10"/>
      <c r="E65" s="10"/>
      <c r="F65" s="10"/>
      <c r="G65" s="10"/>
      <c r="H65" s="10"/>
      <c r="I65" s="10"/>
      <c r="J65" s="10"/>
      <c r="K65" s="25" t="str">
        <f>IF(OR(I65="",J65=""),"",INDEX('Datos maestros'!$B$153:$F$156,VALUE(LEFT(J65,1)),VALUE(LEFT(I65,1))))</f>
        <v/>
      </c>
      <c r="L65" s="10"/>
      <c r="M65" s="10"/>
      <c r="N65" s="25" t="str">
        <f>IF(A65="","",IF(COUNTIF('Tratamiento de riesgos'!$B:$B,A65)&gt;0,"Sí","No"))</f>
        <v/>
      </c>
      <c r="O65" s="24" t="str">
        <f t="shared" si="1"/>
        <v>⚠ Pendiente de completar</v>
      </c>
    </row>
    <row r="66" spans="1:15" ht="24">
      <c r="A66" s="10" t="str">
        <f t="shared" si="2"/>
        <v/>
      </c>
      <c r="B66" s="10"/>
      <c r="C66" s="10"/>
      <c r="D66" s="10"/>
      <c r="E66" s="10"/>
      <c r="F66" s="10"/>
      <c r="G66" s="10"/>
      <c r="H66" s="10"/>
      <c r="I66" s="10"/>
      <c r="J66" s="10"/>
      <c r="K66" s="25" t="str">
        <f>IF(OR(I66="",J66=""),"",INDEX('Datos maestros'!$B$153:$F$156,VALUE(LEFT(J66,1)),VALUE(LEFT(I66,1))))</f>
        <v/>
      </c>
      <c r="L66" s="10"/>
      <c r="M66" s="10"/>
      <c r="N66" s="25" t="str">
        <f>IF(A66="","",IF(COUNTIF('Tratamiento de riesgos'!$B:$B,A66)&gt;0,"Sí","No"))</f>
        <v/>
      </c>
      <c r="O66" s="24" t="str">
        <f t="shared" si="1"/>
        <v>⚠ Pendiente de completar</v>
      </c>
    </row>
    <row r="67" spans="1:15" ht="24">
      <c r="A67" s="10" t="str">
        <f t="shared" si="2"/>
        <v/>
      </c>
      <c r="B67" s="10"/>
      <c r="C67" s="10"/>
      <c r="D67" s="10"/>
      <c r="E67" s="10"/>
      <c r="F67" s="10"/>
      <c r="G67" s="10"/>
      <c r="H67" s="10"/>
      <c r="I67" s="10"/>
      <c r="J67" s="10"/>
      <c r="K67" s="25" t="str">
        <f>IF(OR(I67="",J67=""),"",INDEX('Datos maestros'!$B$153:$F$156,VALUE(LEFT(J67,1)),VALUE(LEFT(I67,1))))</f>
        <v/>
      </c>
      <c r="L67" s="10"/>
      <c r="M67" s="10"/>
      <c r="N67" s="25" t="str">
        <f>IF(A67="","",IF(COUNTIF('Tratamiento de riesgos'!$B:$B,A67)&gt;0,"Sí","No"))</f>
        <v/>
      </c>
      <c r="O67" s="24" t="str">
        <f t="shared" si="1"/>
        <v>⚠ Pendiente de completar</v>
      </c>
    </row>
    <row r="68" spans="1:15" ht="24">
      <c r="A68" s="10" t="str">
        <f t="shared" si="2"/>
        <v/>
      </c>
      <c r="B68" s="10"/>
      <c r="C68" s="10"/>
      <c r="D68" s="10"/>
      <c r="E68" s="10"/>
      <c r="F68" s="10"/>
      <c r="G68" s="10"/>
      <c r="H68" s="10"/>
      <c r="I68" s="10"/>
      <c r="J68" s="10"/>
      <c r="K68" s="25" t="str">
        <f>IF(OR(I68="",J68=""),"",INDEX('Datos maestros'!$B$153:$F$156,VALUE(LEFT(J68,1)),VALUE(LEFT(I68,1))))</f>
        <v/>
      </c>
      <c r="L68" s="10"/>
      <c r="M68" s="10"/>
      <c r="N68" s="25" t="str">
        <f>IF(A68="","",IF(COUNTIF('Tratamiento de riesgos'!$B:$B,A68)&gt;0,"Sí","No"))</f>
        <v/>
      </c>
      <c r="O68" s="24" t="str">
        <f t="shared" si="1"/>
        <v>⚠ Pendiente de completar</v>
      </c>
    </row>
    <row r="69" spans="1:15" ht="24">
      <c r="A69" s="10" t="str">
        <f t="shared" si="2"/>
        <v/>
      </c>
      <c r="B69" s="10"/>
      <c r="C69" s="10"/>
      <c r="D69" s="10"/>
      <c r="E69" s="10"/>
      <c r="F69" s="10"/>
      <c r="G69" s="10"/>
      <c r="H69" s="10"/>
      <c r="I69" s="10"/>
      <c r="J69" s="10"/>
      <c r="K69" s="25" t="str">
        <f>IF(OR(I69="",J69=""),"",INDEX('Datos maestros'!$B$153:$F$156,VALUE(LEFT(J69,1)),VALUE(LEFT(I69,1))))</f>
        <v/>
      </c>
      <c r="L69" s="10"/>
      <c r="M69" s="10"/>
      <c r="N69" s="25" t="str">
        <f>IF(A69="","",IF(COUNTIF('Tratamiento de riesgos'!$B:$B,A69)&gt;0,"Sí","No"))</f>
        <v/>
      </c>
      <c r="O69" s="24" t="str">
        <f t="shared" ref="O69:O80" si="3">IF(SUM(COUNTBLANK(B69:C69),COUNTBLANK(E69:F69),COUNTBLANK(I69:J69),COUNTBLANK(M69))&gt;0,"⚠ Pendiente de completar","✓ Completo")</f>
        <v>⚠ Pendiente de completar</v>
      </c>
    </row>
    <row r="70" spans="1:15" ht="24">
      <c r="A70" s="10" t="str">
        <f t="shared" si="2"/>
        <v/>
      </c>
      <c r="B70" s="10"/>
      <c r="C70" s="10"/>
      <c r="D70" s="10"/>
      <c r="E70" s="10"/>
      <c r="F70" s="10"/>
      <c r="G70" s="10"/>
      <c r="H70" s="10"/>
      <c r="I70" s="10"/>
      <c r="J70" s="10"/>
      <c r="K70" s="25" t="str">
        <f>IF(OR(I70="",J70=""),"",INDEX('Datos maestros'!$B$153:$F$156,VALUE(LEFT(J70,1)),VALUE(LEFT(I70,1))))</f>
        <v/>
      </c>
      <c r="L70" s="10"/>
      <c r="M70" s="10"/>
      <c r="N70" s="25" t="str">
        <f>IF(A70="","",IF(COUNTIF('Tratamiento de riesgos'!$B:$B,A70)&gt;0,"Sí","No"))</f>
        <v/>
      </c>
      <c r="O70" s="24" t="str">
        <f t="shared" si="3"/>
        <v>⚠ Pendiente de completar</v>
      </c>
    </row>
    <row r="71" spans="1:15" ht="24">
      <c r="A71" s="10" t="str">
        <f t="shared" si="2"/>
        <v/>
      </c>
      <c r="B71" s="10"/>
      <c r="C71" s="10"/>
      <c r="D71" s="10"/>
      <c r="E71" s="10"/>
      <c r="F71" s="10"/>
      <c r="G71" s="10"/>
      <c r="H71" s="10"/>
      <c r="I71" s="10"/>
      <c r="J71" s="10"/>
      <c r="K71" s="25" t="str">
        <f>IF(OR(I71="",J71=""),"",INDEX('Datos maestros'!$B$153:$F$156,VALUE(LEFT(J71,1)),VALUE(LEFT(I71,1))))</f>
        <v/>
      </c>
      <c r="L71" s="10"/>
      <c r="M71" s="10"/>
      <c r="N71" s="25" t="str">
        <f>IF(A71="","",IF(COUNTIF('Tratamiento de riesgos'!$B:$B,A71)&gt;0,"Sí","No"))</f>
        <v/>
      </c>
      <c r="O71" s="24" t="str">
        <f t="shared" si="3"/>
        <v>⚠ Pendiente de completar</v>
      </c>
    </row>
    <row r="72" spans="1:15" ht="24">
      <c r="A72" s="10" t="str">
        <f t="shared" si="2"/>
        <v/>
      </c>
      <c r="B72" s="10"/>
      <c r="C72" s="10"/>
      <c r="D72" s="10"/>
      <c r="E72" s="10"/>
      <c r="F72" s="10"/>
      <c r="G72" s="10"/>
      <c r="H72" s="10"/>
      <c r="I72" s="10"/>
      <c r="J72" s="10"/>
      <c r="K72" s="25" t="str">
        <f>IF(OR(I72="",J72=""),"",INDEX('Datos maestros'!$B$153:$F$156,VALUE(LEFT(J72,1)),VALUE(LEFT(I72,1))))</f>
        <v/>
      </c>
      <c r="L72" s="10"/>
      <c r="M72" s="10"/>
      <c r="N72" s="25" t="str">
        <f>IF(A72="","",IF(COUNTIF('Tratamiento de riesgos'!$B:$B,A72)&gt;0,"Sí","No"))</f>
        <v/>
      </c>
      <c r="O72" s="24" t="str">
        <f t="shared" si="3"/>
        <v>⚠ Pendiente de completar</v>
      </c>
    </row>
    <row r="73" spans="1:15" ht="24">
      <c r="A73" s="10" t="str">
        <f t="shared" si="2"/>
        <v/>
      </c>
      <c r="B73" s="10"/>
      <c r="C73" s="10"/>
      <c r="D73" s="10"/>
      <c r="E73" s="10"/>
      <c r="F73" s="10"/>
      <c r="G73" s="10"/>
      <c r="H73" s="10"/>
      <c r="I73" s="10"/>
      <c r="J73" s="10"/>
      <c r="K73" s="25" t="str">
        <f>IF(OR(I73="",J73=""),"",INDEX('Datos maestros'!$B$153:$F$156,VALUE(LEFT(J73,1)),VALUE(LEFT(I73,1))))</f>
        <v/>
      </c>
      <c r="L73" s="10"/>
      <c r="M73" s="10"/>
      <c r="N73" s="25" t="str">
        <f>IF(A73="","",IF(COUNTIF('Tratamiento de riesgos'!$B:$B,A73)&gt;0,"Sí","No"))</f>
        <v/>
      </c>
      <c r="O73" s="24" t="str">
        <f t="shared" si="3"/>
        <v>⚠ Pendiente de completar</v>
      </c>
    </row>
    <row r="74" spans="1:15" ht="24">
      <c r="A74" s="10" t="str">
        <f t="shared" si="2"/>
        <v/>
      </c>
      <c r="B74" s="10"/>
      <c r="C74" s="10"/>
      <c r="D74" s="10"/>
      <c r="E74" s="10"/>
      <c r="F74" s="10"/>
      <c r="G74" s="10"/>
      <c r="H74" s="10"/>
      <c r="I74" s="10"/>
      <c r="J74" s="10"/>
      <c r="K74" s="25" t="str">
        <f>IF(OR(I74="",J74=""),"",INDEX('Datos maestros'!$B$153:$F$156,VALUE(LEFT(J74,1)),VALUE(LEFT(I74,1))))</f>
        <v/>
      </c>
      <c r="L74" s="10"/>
      <c r="M74" s="10"/>
      <c r="N74" s="25" t="str">
        <f>IF(A74="","",IF(COUNTIF('Tratamiento de riesgos'!$B:$B,A74)&gt;0,"Sí","No"))</f>
        <v/>
      </c>
      <c r="O74" s="24" t="str">
        <f t="shared" si="3"/>
        <v>⚠ Pendiente de completar</v>
      </c>
    </row>
    <row r="75" spans="1:15" ht="24">
      <c r="A75" s="10" t="str">
        <f t="shared" si="2"/>
        <v/>
      </c>
      <c r="B75" s="10"/>
      <c r="C75" s="10"/>
      <c r="D75" s="10"/>
      <c r="E75" s="10"/>
      <c r="F75" s="10"/>
      <c r="G75" s="10"/>
      <c r="H75" s="10"/>
      <c r="I75" s="10"/>
      <c r="J75" s="10"/>
      <c r="K75" s="25" t="str">
        <f>IF(OR(I75="",J75=""),"",INDEX('Datos maestros'!$B$153:$F$156,VALUE(LEFT(J75,1)),VALUE(LEFT(I75,1))))</f>
        <v/>
      </c>
      <c r="L75" s="10"/>
      <c r="M75" s="10"/>
      <c r="N75" s="25" t="str">
        <f>IF(A75="","",IF(COUNTIF('Tratamiento de riesgos'!$B:$B,A75)&gt;0,"Sí","No"))</f>
        <v/>
      </c>
      <c r="O75" s="24" t="str">
        <f t="shared" si="3"/>
        <v>⚠ Pendiente de completar</v>
      </c>
    </row>
    <row r="76" spans="1:15" ht="24">
      <c r="A76" s="10" t="str">
        <f t="shared" si="2"/>
        <v/>
      </c>
      <c r="B76" s="10"/>
      <c r="C76" s="10"/>
      <c r="D76" s="10"/>
      <c r="E76" s="10"/>
      <c r="F76" s="10"/>
      <c r="G76" s="10"/>
      <c r="H76" s="10"/>
      <c r="I76" s="10"/>
      <c r="J76" s="10"/>
      <c r="K76" s="25" t="str">
        <f>IF(OR(I76="",J76=""),"",INDEX('Datos maestros'!$B$153:$F$156,VALUE(LEFT(J76,1)),VALUE(LEFT(I76,1))))</f>
        <v/>
      </c>
      <c r="L76" s="10"/>
      <c r="M76" s="10"/>
      <c r="N76" s="25" t="str">
        <f>IF(A76="","",IF(COUNTIF('Tratamiento de riesgos'!$B:$B,A76)&gt;0,"Sí","No"))</f>
        <v/>
      </c>
      <c r="O76" s="24" t="str">
        <f t="shared" si="3"/>
        <v>⚠ Pendiente de completar</v>
      </c>
    </row>
    <row r="77" spans="1:15" ht="24">
      <c r="A77" s="10" t="str">
        <f t="shared" si="2"/>
        <v/>
      </c>
      <c r="B77" s="10"/>
      <c r="C77" s="10"/>
      <c r="D77" s="10"/>
      <c r="E77" s="10"/>
      <c r="F77" s="10"/>
      <c r="G77" s="10"/>
      <c r="H77" s="10"/>
      <c r="I77" s="10"/>
      <c r="J77" s="10"/>
      <c r="K77" s="25" t="str">
        <f>IF(OR(I77="",J77=""),"",INDEX('Datos maestros'!$B$153:$F$156,VALUE(LEFT(J77,1)),VALUE(LEFT(I77,1))))</f>
        <v/>
      </c>
      <c r="L77" s="10"/>
      <c r="M77" s="10"/>
      <c r="N77" s="25" t="str">
        <f>IF(A77="","",IF(COUNTIF('Tratamiento de riesgos'!$B:$B,A77)&gt;0,"Sí","No"))</f>
        <v/>
      </c>
      <c r="O77" s="24" t="str">
        <f t="shared" si="3"/>
        <v>⚠ Pendiente de completar</v>
      </c>
    </row>
    <row r="78" spans="1:15" ht="24">
      <c r="A78" s="10" t="str">
        <f t="shared" si="2"/>
        <v/>
      </c>
      <c r="B78" s="10"/>
      <c r="C78" s="10"/>
      <c r="D78" s="10"/>
      <c r="E78" s="10"/>
      <c r="F78" s="10"/>
      <c r="G78" s="10"/>
      <c r="H78" s="10"/>
      <c r="I78" s="10"/>
      <c r="J78" s="10"/>
      <c r="K78" s="25" t="str">
        <f>IF(OR(I78="",J78=""),"",INDEX('Datos maestros'!$B$153:$F$156,VALUE(LEFT(J78,1)),VALUE(LEFT(I78,1))))</f>
        <v/>
      </c>
      <c r="L78" s="10"/>
      <c r="M78" s="10"/>
      <c r="N78" s="25" t="str">
        <f>IF(A78="","",IF(COUNTIF('Tratamiento de riesgos'!$B:$B,A78)&gt;0,"Sí","No"))</f>
        <v/>
      </c>
      <c r="O78" s="24" t="str">
        <f t="shared" si="3"/>
        <v>⚠ Pendiente de completar</v>
      </c>
    </row>
    <row r="79" spans="1:15" ht="24">
      <c r="A79" s="10" t="str">
        <f t="shared" si="2"/>
        <v/>
      </c>
      <c r="B79" s="10"/>
      <c r="C79" s="10"/>
      <c r="D79" s="10"/>
      <c r="E79" s="10"/>
      <c r="F79" s="10"/>
      <c r="G79" s="10"/>
      <c r="H79" s="10"/>
      <c r="I79" s="10"/>
      <c r="J79" s="10"/>
      <c r="K79" s="25" t="str">
        <f>IF(OR(I79="",J79=""),"",INDEX('Datos maestros'!$B$153:$F$156,VALUE(LEFT(J79,1)),VALUE(LEFT(I79,1))))</f>
        <v/>
      </c>
      <c r="L79" s="10"/>
      <c r="M79" s="10"/>
      <c r="N79" s="25" t="str">
        <f>IF(A79="","",IF(COUNTIF('Tratamiento de riesgos'!$B:$B,A79)&gt;0,"Sí","No"))</f>
        <v/>
      </c>
      <c r="O79" s="24" t="str">
        <f t="shared" si="3"/>
        <v>⚠ Pendiente de completar</v>
      </c>
    </row>
    <row r="80" spans="1:15" ht="24">
      <c r="A80" s="10" t="str">
        <f t="shared" si="2"/>
        <v/>
      </c>
      <c r="B80" s="10"/>
      <c r="C80" s="10"/>
      <c r="D80" s="10"/>
      <c r="E80" s="10"/>
      <c r="F80" s="10"/>
      <c r="G80" s="10"/>
      <c r="H80" s="10"/>
      <c r="I80" s="10"/>
      <c r="J80" s="10"/>
      <c r="K80" s="25" t="str">
        <f>IF(OR(I80="",J80=""),"",INDEX('Datos maestros'!$B$153:$F$156,VALUE(LEFT(J80,1)),VALUE(LEFT(I80,1))))</f>
        <v/>
      </c>
      <c r="L80" s="10"/>
      <c r="M80" s="10"/>
      <c r="N80" s="25" t="str">
        <f>IF(A80="","",IF(COUNTIF('Tratamiento de riesgos'!$B:$B,A80)&gt;0,"Sí","No"))</f>
        <v/>
      </c>
      <c r="O80" s="24" t="str">
        <f t="shared" si="3"/>
        <v>⚠ Pendiente de completar</v>
      </c>
    </row>
  </sheetData>
  <mergeCells count="5">
    <mergeCell ref="A1:O1"/>
    <mergeCell ref="A2:O2"/>
    <mergeCell ref="B3:H3"/>
    <mergeCell ref="I3:M3"/>
    <mergeCell ref="N3:O3"/>
  </mergeCells>
  <conditionalFormatting sqref="K5:K80">
    <cfRule type="cellIs" dxfId="21" priority="2" operator="equal">
      <formula>"Muy bajo"</formula>
    </cfRule>
    <cfRule type="cellIs" dxfId="20" priority="3" operator="equal">
      <formula>"Bajo"</formula>
    </cfRule>
    <cfRule type="cellIs" dxfId="19" priority="4" operator="equal">
      <formula>"Medio"</formula>
    </cfRule>
    <cfRule type="cellIs" dxfId="18" priority="5" operator="equal">
      <formula>"Alto"</formula>
    </cfRule>
    <cfRule type="cellIs" dxfId="17" priority="6" operator="equal">
      <formula>"Muy alto"</formula>
    </cfRule>
  </conditionalFormatting>
  <conditionalFormatting sqref="N5:N80">
    <cfRule type="expression" dxfId="16" priority="9">
      <formula>AND($N5="No",OR($K5="Alto",$K5="Muy alto"))</formula>
    </cfRule>
  </conditionalFormatting>
  <conditionalFormatting sqref="O5:O80">
    <cfRule type="cellIs" dxfId="15" priority="7" operator="equal">
      <formula>"⚠ Pendiente de completar"</formula>
    </cfRule>
    <cfRule type="cellIs" dxfId="14" priority="8" operator="equal">
      <formula>"✓ Completo"</formula>
    </cfRule>
  </conditionalFormatting>
  <pageMargins left="0.75" right="0.75" top="1" bottom="1" header="0.511811023622047" footer="0.511811023622047"/>
  <pageSetup paperSize="9" orientation="portrait" horizontalDpi="300" verticalDpi="300"/>
  <headerFooter>
    <oddHeader>&amp;R&amp;"Aptos"&amp;10&amp;K000000 Uso interno&amp;1#_x000D_</oddHeader>
  </headerFooter>
  <extLst>
    <ext xmlns:x14="http://schemas.microsoft.com/office/spreadsheetml/2009/9/main" uri="{CCE6A557-97BC-4b89-ADB6-D9C93CAAB3DF}">
      <x14:dataValidations xmlns:xm="http://schemas.microsoft.com/office/excel/2006/main" count="7">
        <x14:dataValidation type="list" allowBlank="1" xr:uid="{00000000-0002-0000-0200-000000000000}">
          <x14:formula1>
            <xm:f>'Datos maestros'!$A$5:$A$7</xm:f>
          </x14:formula1>
          <x14:formula2>
            <xm:f>0</xm:f>
          </x14:formula2>
          <xm:sqref>B5:B59 B62:B80</xm:sqref>
        </x14:dataValidation>
        <x14:dataValidation type="list" allowBlank="1" xr:uid="{00000000-0002-0000-0200-000001000000}">
          <x14:formula1>
            <xm:f>'Datos maestros'!$A$19:$A$22</xm:f>
          </x14:formula1>
          <x14:formula2>
            <xm:f>0</xm:f>
          </x14:formula2>
          <xm:sqref>C5:C80</xm:sqref>
        </x14:dataValidation>
        <x14:dataValidation type="list" allowBlank="1" xr:uid="{00000000-0002-0000-0200-000002000000}">
          <x14:formula1>
            <xm:f>'Datos maestros'!$A$26:$A$32</xm:f>
          </x14:formula1>
          <x14:formula2>
            <xm:f>0</xm:f>
          </x14:formula2>
          <xm:sqref>D5:D80</xm:sqref>
        </x14:dataValidation>
        <x14:dataValidation type="list" allowBlank="1" xr:uid="{00000000-0002-0000-0200-000003000000}">
          <x14:formula1>
            <xm:f>'Datos maestros'!$A$137:$A$141</xm:f>
          </x14:formula1>
          <x14:formula2>
            <xm:f>0</xm:f>
          </x14:formula2>
          <xm:sqref>I5:I80</xm:sqref>
        </x14:dataValidation>
        <x14:dataValidation type="list" allowBlank="1" xr:uid="{00000000-0002-0000-0200-000004000000}">
          <x14:formula1>
            <xm:f>'Datos maestros'!$A$145:$A$148</xm:f>
          </x14:formula1>
          <x14:formula2>
            <xm:f>0</xm:f>
          </x14:formula2>
          <xm:sqref>J5:J80</xm:sqref>
        </x14:dataValidation>
        <x14:dataValidation type="list" allowBlank="1" xr:uid="{00000000-0002-0000-0200-000005000000}">
          <x14:formula1>
            <xm:f>'Datos maestros'!$A$160:$A$183</xm:f>
          </x14:formula1>
          <x14:formula2>
            <xm:f>0</xm:f>
          </x14:formula2>
          <xm:sqref>M5:M80</xm:sqref>
        </x14:dataValidation>
        <x14:dataValidation type="list" allowBlank="1" xr:uid="{0B14A246-86B6-436F-AFEF-7CEE5A56E207}">
          <x14:formula1>
            <xm:f>'Datos maestros'!$A$5:$A$15</xm:f>
          </x14:formula1>
          <xm:sqref>B60:B61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0"/>
  <sheetViews>
    <sheetView showGridLines="0" zoomScaleNormal="100" workbookViewId="0">
      <pane ySplit="4" topLeftCell="A5" activePane="bottomLeft" state="frozen"/>
      <selection pane="bottomLeft"/>
    </sheetView>
  </sheetViews>
  <sheetFormatPr defaultColWidth="8.7109375" defaultRowHeight="14.45"/>
  <cols>
    <col min="1" max="1" width="8" customWidth="1"/>
    <col min="2" max="2" width="12" customWidth="1"/>
    <col min="3" max="3" width="20" customWidth="1"/>
    <col min="4" max="4" width="14" customWidth="1"/>
    <col min="5" max="5" width="22" customWidth="1"/>
    <col min="6" max="6" width="34" customWidth="1"/>
    <col min="7" max="7" width="20" customWidth="1"/>
    <col min="8" max="9" width="14" customWidth="1"/>
    <col min="10" max="10" width="18" customWidth="1"/>
    <col min="11" max="13" width="16" customWidth="1"/>
    <col min="14" max="15" width="14" customWidth="1"/>
    <col min="16" max="16" width="26" customWidth="1"/>
  </cols>
  <sheetData>
    <row r="1" spans="1:17" ht="25.5" customHeight="1">
      <c r="A1" s="48" t="s">
        <v>629</v>
      </c>
      <c r="B1" s="48"/>
      <c r="C1" s="48"/>
      <c r="D1" s="48"/>
      <c r="E1" s="48"/>
      <c r="F1" s="48"/>
      <c r="G1" s="48"/>
      <c r="H1" s="48"/>
      <c r="I1" s="48"/>
      <c r="J1" s="48"/>
      <c r="K1" s="48"/>
      <c r="L1" s="48"/>
      <c r="M1" s="48"/>
      <c r="N1" s="48"/>
      <c r="O1" s="48"/>
      <c r="P1" s="48"/>
      <c r="Q1" s="48"/>
    </row>
    <row r="2" spans="1:17" ht="15.75" customHeight="1">
      <c r="A2" s="49" t="s">
        <v>630</v>
      </c>
      <c r="B2" s="49"/>
      <c r="C2" s="49"/>
      <c r="D2" s="49"/>
      <c r="E2" s="49"/>
      <c r="F2" s="49"/>
      <c r="G2" s="49"/>
      <c r="H2" s="49"/>
      <c r="I2" s="49"/>
      <c r="J2" s="49"/>
      <c r="K2" s="49"/>
      <c r="L2" s="49"/>
      <c r="M2" s="49"/>
      <c r="N2" s="49"/>
      <c r="O2" s="49"/>
      <c r="P2" s="49"/>
      <c r="Q2" s="49"/>
    </row>
    <row r="3" spans="1:17" ht="15.75" customHeight="1">
      <c r="A3" s="50" t="s">
        <v>631</v>
      </c>
      <c r="B3" s="50"/>
      <c r="C3" s="50"/>
      <c r="D3" s="50"/>
      <c r="E3" s="50" t="s">
        <v>632</v>
      </c>
      <c r="F3" s="50"/>
      <c r="G3" s="50"/>
      <c r="H3" s="50"/>
      <c r="I3" s="50"/>
      <c r="J3" s="50"/>
      <c r="K3" s="50"/>
      <c r="L3" s="50" t="s">
        <v>633</v>
      </c>
      <c r="M3" s="50"/>
      <c r="N3" s="50"/>
      <c r="O3" s="50" t="s">
        <v>634</v>
      </c>
      <c r="P3" s="50"/>
    </row>
    <row r="4" spans="1:17" ht="39.75" customHeight="1">
      <c r="A4" s="20" t="s">
        <v>635</v>
      </c>
      <c r="B4" s="20" t="s">
        <v>636</v>
      </c>
      <c r="C4" s="20" t="s">
        <v>637</v>
      </c>
      <c r="D4" s="20" t="s">
        <v>638</v>
      </c>
      <c r="E4" s="20" t="s">
        <v>639</v>
      </c>
      <c r="F4" s="20" t="s">
        <v>640</v>
      </c>
      <c r="G4" s="20" t="s">
        <v>641</v>
      </c>
      <c r="H4" s="20" t="s">
        <v>642</v>
      </c>
      <c r="I4" s="20" t="s">
        <v>643</v>
      </c>
      <c r="J4" s="20" t="s">
        <v>644</v>
      </c>
      <c r="K4" s="20" t="s">
        <v>645</v>
      </c>
      <c r="L4" s="20" t="s">
        <v>646</v>
      </c>
      <c r="M4" s="20" t="s">
        <v>647</v>
      </c>
      <c r="N4" s="20" t="s">
        <v>648</v>
      </c>
      <c r="O4" s="20" t="s">
        <v>649</v>
      </c>
      <c r="P4" s="20" t="s">
        <v>650</v>
      </c>
    </row>
    <row r="5" spans="1:17" ht="41.45">
      <c r="A5" s="26">
        <v>1</v>
      </c>
      <c r="B5" s="26" t="s">
        <v>393</v>
      </c>
      <c r="C5" s="27" t="str">
        <f>IFERROR(VLOOKUP(B5,'Matriz de riesgos'!$A:$B,2,0),"")</f>
        <v>Facturación electrónica PSE</v>
      </c>
      <c r="D5" s="23" t="str">
        <f>IFERROR(VLOOKUP(B5,'Matriz de riesgos'!$A:$K,11,0),"")</f>
        <v>Alto</v>
      </c>
      <c r="E5" s="22" t="s">
        <v>334</v>
      </c>
      <c r="F5" s="10" t="s">
        <v>651</v>
      </c>
      <c r="G5" s="10" t="s">
        <v>310</v>
      </c>
      <c r="H5" s="10" t="s">
        <v>652</v>
      </c>
      <c r="I5" s="10" t="s">
        <v>653</v>
      </c>
      <c r="J5" s="10" t="s">
        <v>654</v>
      </c>
      <c r="K5" s="10" t="s">
        <v>655</v>
      </c>
      <c r="L5" s="10"/>
      <c r="M5" s="10"/>
      <c r="N5" s="23" t="str">
        <f>IF(OR(L5="",M5=""),"",INDEX('Datos maestros'!$B$153:$F$156,VALUE(LEFT(M5,1)),VALUE(LEFT(L5,1))))</f>
        <v/>
      </c>
      <c r="O5" s="10"/>
      <c r="P5" s="12"/>
    </row>
    <row r="6" spans="1:17" ht="27.6">
      <c r="A6" s="26">
        <v>2</v>
      </c>
      <c r="B6" s="26" t="s">
        <v>447</v>
      </c>
      <c r="C6" s="27" t="str">
        <f>IFERROR(VLOOKUP(B6,'Matriz de riesgos'!$A:$B,2,0),"")</f>
        <v>Validación de comprobantes OSE</v>
      </c>
      <c r="D6" s="23" t="str">
        <f>IFERROR(VLOOKUP(B6,'Matriz de riesgos'!$A:$K,11,0),"")</f>
        <v>Alto</v>
      </c>
      <c r="E6" s="22" t="s">
        <v>334</v>
      </c>
      <c r="F6" s="10" t="s">
        <v>656</v>
      </c>
      <c r="G6" s="10" t="s">
        <v>309</v>
      </c>
      <c r="H6" s="10" t="s">
        <v>657</v>
      </c>
      <c r="I6" s="10" t="s">
        <v>658</v>
      </c>
      <c r="J6" s="10" t="s">
        <v>659</v>
      </c>
      <c r="K6" s="10" t="s">
        <v>343</v>
      </c>
      <c r="L6" s="10"/>
      <c r="M6" s="10"/>
      <c r="N6" s="23" t="str">
        <f>IF(OR(L6="",M6=""),"",INDEX('Datos maestros'!$B$153:$F$156,VALUE(LEFT(M6,1)),VALUE(LEFT(L6,1))))</f>
        <v/>
      </c>
      <c r="O6" s="10"/>
      <c r="P6" s="10" t="s">
        <v>660</v>
      </c>
    </row>
    <row r="7" spans="1:17" ht="41.45">
      <c r="A7" s="26">
        <v>3</v>
      </c>
      <c r="B7" s="26" t="s">
        <v>482</v>
      </c>
      <c r="C7" s="27" t="str">
        <f>IFERROR(VLOOKUP(B7,'Matriz de riesgos'!$A:$B,2,0),"")</f>
        <v>Validación de comprobantes OSE</v>
      </c>
      <c r="D7" s="23" t="str">
        <f>IFERROR(VLOOKUP(B7,'Matriz de riesgos'!$A:$K,11,0),"")</f>
        <v>Alto</v>
      </c>
      <c r="E7" s="22" t="s">
        <v>334</v>
      </c>
      <c r="F7" s="10" t="s">
        <v>661</v>
      </c>
      <c r="G7" s="10" t="s">
        <v>308</v>
      </c>
      <c r="H7" s="10" t="s">
        <v>657</v>
      </c>
      <c r="I7" s="10" t="s">
        <v>662</v>
      </c>
      <c r="J7" s="10" t="s">
        <v>663</v>
      </c>
      <c r="K7" s="10" t="s">
        <v>343</v>
      </c>
      <c r="L7" s="10"/>
      <c r="M7" s="10"/>
      <c r="N7" s="23" t="str">
        <f>IF(OR(L7="",M7=""),"",INDEX('Datos maestros'!$B$153:$F$156,VALUE(LEFT(M7,1)),VALUE(LEFT(L7,1))))</f>
        <v/>
      </c>
      <c r="O7" s="10"/>
      <c r="P7" s="10" t="s">
        <v>664</v>
      </c>
    </row>
    <row r="8" spans="1:17" ht="41.45">
      <c r="A8" s="26">
        <v>4</v>
      </c>
      <c r="B8" s="26" t="s">
        <v>503</v>
      </c>
      <c r="C8" s="27" t="str">
        <f>IFERROR(VLOOKUP(B8,'Matriz de riesgos'!$A:$B,2,0),"")</f>
        <v>Validación de comprobantes OSE</v>
      </c>
      <c r="D8" s="23" t="str">
        <f>IFERROR(VLOOKUP(B8,'Matriz de riesgos'!$A:$K,11,0),"")</f>
        <v>Alto</v>
      </c>
      <c r="E8" s="22" t="s">
        <v>334</v>
      </c>
      <c r="F8" s="10" t="s">
        <v>665</v>
      </c>
      <c r="G8" s="10" t="s">
        <v>308</v>
      </c>
      <c r="H8" s="10" t="s">
        <v>657</v>
      </c>
      <c r="I8" s="10" t="s">
        <v>662</v>
      </c>
      <c r="J8" s="10" t="s">
        <v>666</v>
      </c>
      <c r="K8" s="10" t="s">
        <v>343</v>
      </c>
      <c r="L8" s="10"/>
      <c r="M8" s="10"/>
      <c r="N8" s="23" t="str">
        <f>IF(OR(L8="",M8=""),"",INDEX('Datos maestros'!$B$153:$F$156,VALUE(LEFT(M8,1)),VALUE(LEFT(L8,1))))</f>
        <v/>
      </c>
      <c r="O8" s="10"/>
      <c r="P8" s="12"/>
    </row>
    <row r="9" spans="1:17" ht="27.6">
      <c r="A9" s="26">
        <v>5</v>
      </c>
      <c r="B9" s="26" t="s">
        <v>508</v>
      </c>
      <c r="C9" s="27" t="str">
        <f>IFERROR(VLOOKUP(B9,'Matriz de riesgos'!$A:$B,2,0),"")</f>
        <v>Facturación electrónica PSE</v>
      </c>
      <c r="D9" s="23" t="str">
        <f>IFERROR(VLOOKUP(B9,'Matriz de riesgos'!$A:$K,11,0),"")</f>
        <v>Alto</v>
      </c>
      <c r="E9" s="22" t="s">
        <v>334</v>
      </c>
      <c r="F9" s="10" t="s">
        <v>667</v>
      </c>
      <c r="G9" s="10" t="s">
        <v>310</v>
      </c>
      <c r="H9" s="10" t="s">
        <v>662</v>
      </c>
      <c r="I9" s="10" t="s">
        <v>668</v>
      </c>
      <c r="J9" s="10" t="s">
        <v>654</v>
      </c>
      <c r="K9" s="10" t="s">
        <v>343</v>
      </c>
      <c r="L9" s="10"/>
      <c r="M9" s="10"/>
      <c r="N9" s="23" t="str">
        <f>IF(OR(L9="",M9=""),"",INDEX('Datos maestros'!$B$153:$F$156,VALUE(LEFT(M9,1)),VALUE(LEFT(L9,1))))</f>
        <v/>
      </c>
      <c r="O9" s="10"/>
      <c r="P9" s="10" t="s">
        <v>669</v>
      </c>
    </row>
    <row r="10" spans="1:17" ht="41.45">
      <c r="A10" s="26">
        <v>6</v>
      </c>
      <c r="B10" s="26" t="s">
        <v>535</v>
      </c>
      <c r="C10" s="27" t="str">
        <f>IFERROR(VLOOKUP(B10,'Matriz de riesgos'!$A:$B,2,0),"")</f>
        <v>Facturación electrónica PSE</v>
      </c>
      <c r="D10" s="23" t="str">
        <f>IFERROR(VLOOKUP(B10,'Matriz de riesgos'!$A:$K,11,0),"")</f>
        <v>Alto</v>
      </c>
      <c r="E10" s="22" t="s">
        <v>334</v>
      </c>
      <c r="F10" s="10" t="s">
        <v>670</v>
      </c>
      <c r="G10" s="10" t="s">
        <v>310</v>
      </c>
      <c r="H10" s="10" t="s">
        <v>671</v>
      </c>
      <c r="I10" s="10" t="s">
        <v>672</v>
      </c>
      <c r="J10" s="10" t="s">
        <v>654</v>
      </c>
      <c r="K10" s="10" t="s">
        <v>342</v>
      </c>
      <c r="L10" s="10"/>
      <c r="M10" s="10"/>
      <c r="N10" s="23" t="str">
        <f>IF(OR(L10="",M10=""),"",INDEX('Datos maestros'!$B$153:$F$156,VALUE(LEFT(M10,1)),VALUE(LEFT(L10,1))))</f>
        <v/>
      </c>
      <c r="O10" s="10"/>
      <c r="P10" s="10" t="s">
        <v>673</v>
      </c>
    </row>
    <row r="11" spans="1:17" ht="96.6">
      <c r="A11" s="26">
        <v>7</v>
      </c>
      <c r="B11" s="26" t="s">
        <v>552</v>
      </c>
      <c r="C11" s="27" t="str">
        <f>IFERROR(VLOOKUP(B11,'Matriz de riesgos'!$A:$B,2,0),"")</f>
        <v>Ambos</v>
      </c>
      <c r="D11" s="23" t="str">
        <f>IFERROR(VLOOKUP(B11,'Matriz de riesgos'!$A:$K,11,0),"")</f>
        <v>Alto</v>
      </c>
      <c r="E11" s="22" t="s">
        <v>334</v>
      </c>
      <c r="F11" s="10" t="s">
        <v>674</v>
      </c>
      <c r="G11" s="10" t="s">
        <v>308</v>
      </c>
      <c r="H11" s="10" t="s">
        <v>668</v>
      </c>
      <c r="I11" s="10" t="s">
        <v>675</v>
      </c>
      <c r="J11" s="10" t="s">
        <v>663</v>
      </c>
      <c r="K11" s="10" t="s">
        <v>343</v>
      </c>
      <c r="L11" s="10"/>
      <c r="M11" s="10"/>
      <c r="N11" s="23" t="str">
        <f>IF(OR(L11="",M11=""),"",INDEX('Datos maestros'!$B$153:$F$156,VALUE(LEFT(M11,1)),VALUE(LEFT(L11,1))))</f>
        <v/>
      </c>
      <c r="O11" s="10"/>
      <c r="P11" s="10" t="s">
        <v>676</v>
      </c>
    </row>
    <row r="12" spans="1:17" ht="276">
      <c r="A12" s="26">
        <v>8</v>
      </c>
      <c r="B12" s="26" t="s">
        <v>558</v>
      </c>
      <c r="C12" s="27" t="str">
        <f>IFERROR(VLOOKUP(B12,'Matriz de riesgos'!$A:$B,2,0),"")</f>
        <v>Ambos</v>
      </c>
      <c r="D12" s="23" t="str">
        <f>IFERROR(VLOOKUP(B12,'Matriz de riesgos'!$A:$K,11,0),"")</f>
        <v>Alto</v>
      </c>
      <c r="E12" s="22" t="s">
        <v>334</v>
      </c>
      <c r="F12" s="10" t="s">
        <v>677</v>
      </c>
      <c r="G12" s="10" t="s">
        <v>320</v>
      </c>
      <c r="H12" s="10" t="s">
        <v>678</v>
      </c>
      <c r="I12" s="10"/>
      <c r="J12" s="10" t="s">
        <v>659</v>
      </c>
      <c r="K12" s="10" t="s">
        <v>343</v>
      </c>
      <c r="L12" s="10"/>
      <c r="M12" s="10"/>
      <c r="N12" s="23" t="str">
        <f>IF(OR(L12="",M12=""),"",INDEX('Datos maestros'!$B$153:$F$156,VALUE(LEFT(M12,1)),VALUE(LEFT(L12,1))))</f>
        <v/>
      </c>
      <c r="O12" s="10"/>
      <c r="P12" s="10" t="s">
        <v>679</v>
      </c>
    </row>
    <row r="13" spans="1:17" ht="55.15">
      <c r="A13" s="26">
        <v>9</v>
      </c>
      <c r="B13" s="26" t="s">
        <v>568</v>
      </c>
      <c r="C13" s="27" t="str">
        <f>IFERROR(VLOOKUP(B13,'Matriz de riesgos'!$A:$B,2,0),"")</f>
        <v>Validación de comprobantes OSE</v>
      </c>
      <c r="D13" s="23" t="str">
        <f>IFERROR(VLOOKUP(B13,'Matriz de riesgos'!$A:$K,11,0),"")</f>
        <v>Alto</v>
      </c>
      <c r="E13" s="22" t="s">
        <v>334</v>
      </c>
      <c r="F13" s="10" t="s">
        <v>680</v>
      </c>
      <c r="G13" s="10" t="s">
        <v>329</v>
      </c>
      <c r="H13" s="10" t="s">
        <v>681</v>
      </c>
      <c r="I13" s="10" t="s">
        <v>678</v>
      </c>
      <c r="J13" s="10" t="s">
        <v>659</v>
      </c>
      <c r="K13" s="10" t="s">
        <v>343</v>
      </c>
      <c r="L13" s="10"/>
      <c r="M13" s="10"/>
      <c r="N13" s="23" t="str">
        <f>IF(OR(L13="",M13=""),"",INDEX('Datos maestros'!$B$153:$F$156,VALUE(LEFT(M13,1)),VALUE(LEFT(L13,1))))</f>
        <v/>
      </c>
      <c r="O13" s="10"/>
      <c r="P13" s="10" t="s">
        <v>682</v>
      </c>
    </row>
    <row r="14" spans="1:17" ht="55.15">
      <c r="A14" s="26">
        <v>10</v>
      </c>
      <c r="B14" s="26" t="s">
        <v>572</v>
      </c>
      <c r="C14" s="27" t="str">
        <f>IFERROR(VLOOKUP(B14,'Matriz de riesgos'!$A:$B,2,0),"")</f>
        <v>Facturación electrónica PSE</v>
      </c>
      <c r="D14" s="23" t="str">
        <f>IFERROR(VLOOKUP(B14,'Matriz de riesgos'!$A:$K,11,0),"")</f>
        <v>Alto</v>
      </c>
      <c r="E14" s="22" t="s">
        <v>334</v>
      </c>
      <c r="F14" s="10" t="s">
        <v>683</v>
      </c>
      <c r="G14" s="10" t="s">
        <v>310</v>
      </c>
      <c r="H14" s="10" t="s">
        <v>681</v>
      </c>
      <c r="I14" s="10" t="s">
        <v>684</v>
      </c>
      <c r="J14" s="10" t="s">
        <v>685</v>
      </c>
      <c r="K14" s="10" t="s">
        <v>655</v>
      </c>
      <c r="L14" s="10"/>
      <c r="M14" s="10"/>
      <c r="N14" s="23" t="str">
        <f>IF(OR(L14="",M14=""),"",INDEX('Datos maestros'!$B$153:$F$156,VALUE(LEFT(M14,1)),VALUE(LEFT(L14,1))))</f>
        <v/>
      </c>
      <c r="O14" s="10"/>
      <c r="P14" s="10" t="s">
        <v>686</v>
      </c>
    </row>
    <row r="15" spans="1:17" ht="55.15">
      <c r="A15" s="26">
        <v>11</v>
      </c>
      <c r="B15" s="26" t="s">
        <v>576</v>
      </c>
      <c r="C15" s="27" t="str">
        <f>IFERROR(VLOOKUP(B15,'Matriz de riesgos'!$A:$B,2,0),"")</f>
        <v>Validación de comprobantes OSE</v>
      </c>
      <c r="D15" s="23" t="str">
        <f>IFERROR(VLOOKUP(B15,'Matriz de riesgos'!$A:$K,11,0),"")</f>
        <v>Alto</v>
      </c>
      <c r="E15" s="22" t="s">
        <v>334</v>
      </c>
      <c r="F15" s="10" t="s">
        <v>687</v>
      </c>
      <c r="G15" s="10" t="s">
        <v>325</v>
      </c>
      <c r="H15" s="10" t="s">
        <v>681</v>
      </c>
      <c r="I15" s="10" t="s">
        <v>688</v>
      </c>
      <c r="J15" s="10" t="s">
        <v>659</v>
      </c>
      <c r="K15" s="10" t="s">
        <v>343</v>
      </c>
      <c r="L15" s="10"/>
      <c r="M15" s="10"/>
      <c r="N15" s="23" t="str">
        <f>IF(OR(L15="",M15=""),"",INDEX('Datos maestros'!$B$153:$F$156,VALUE(LEFT(M15,1)),VALUE(LEFT(L15,1))))</f>
        <v/>
      </c>
      <c r="O15" s="10"/>
      <c r="P15" s="10" t="s">
        <v>689</v>
      </c>
    </row>
    <row r="16" spans="1:17" ht="41.45">
      <c r="A16" s="26">
        <v>12</v>
      </c>
      <c r="B16" s="26" t="s">
        <v>580</v>
      </c>
      <c r="C16" s="27" t="str">
        <f>IFERROR(VLOOKUP(B16,'Matriz de riesgos'!$A:$B,2,0),"")</f>
        <v>Validación de comprobantes OSE</v>
      </c>
      <c r="D16" s="23" t="str">
        <f>IFERROR(VLOOKUP(B16,'Matriz de riesgos'!$A:$K,11,0),"")</f>
        <v>Alto</v>
      </c>
      <c r="E16" s="22" t="s">
        <v>334</v>
      </c>
      <c r="F16" s="10" t="s">
        <v>690</v>
      </c>
      <c r="G16" s="10" t="s">
        <v>325</v>
      </c>
      <c r="H16" s="10" t="s">
        <v>681</v>
      </c>
      <c r="I16" s="10" t="s">
        <v>688</v>
      </c>
      <c r="J16" s="10" t="s">
        <v>659</v>
      </c>
      <c r="K16" s="10" t="s">
        <v>343</v>
      </c>
      <c r="L16" s="10"/>
      <c r="M16" s="10"/>
      <c r="N16" s="23" t="str">
        <f>IF(OR(L16="",M16=""),"",INDEX('Datos maestros'!$B$153:$F$156,VALUE(LEFT(M16,1)),VALUE(LEFT(L16,1))))</f>
        <v/>
      </c>
      <c r="O16" s="10"/>
      <c r="P16" s="10" t="s">
        <v>691</v>
      </c>
    </row>
    <row r="17" spans="1:16" ht="27.6">
      <c r="A17" s="26">
        <v>13</v>
      </c>
      <c r="B17" s="26" t="s">
        <v>585</v>
      </c>
      <c r="C17" s="27" t="str">
        <f>IFERROR(VLOOKUP(B17,'Matriz de riesgos'!$A:$B,2,0),"")</f>
        <v>Validación de comprobantes OSE</v>
      </c>
      <c r="D17" s="23" t="str">
        <f>IFERROR(VLOOKUP(B17,'Matriz de riesgos'!$A:$K,11,0),"")</f>
        <v>Alto</v>
      </c>
      <c r="E17" s="22" t="s">
        <v>334</v>
      </c>
      <c r="F17" s="10" t="s">
        <v>692</v>
      </c>
      <c r="G17" s="10" t="s">
        <v>325</v>
      </c>
      <c r="H17" s="10" t="s">
        <v>681</v>
      </c>
      <c r="I17" s="10" t="s">
        <v>684</v>
      </c>
      <c r="J17" s="10" t="s">
        <v>693</v>
      </c>
      <c r="K17" s="10" t="s">
        <v>655</v>
      </c>
      <c r="L17" s="10"/>
      <c r="M17" s="10"/>
      <c r="N17" s="23" t="str">
        <f>IF(OR(L17="",M17=""),"",INDEX('Datos maestros'!$B$153:$F$156,VALUE(LEFT(M17,1)),VALUE(LEFT(L17,1))))</f>
        <v/>
      </c>
      <c r="O17" s="10"/>
      <c r="P17" s="10" t="s">
        <v>694</v>
      </c>
    </row>
    <row r="18" spans="1:16" ht="27.6">
      <c r="A18" s="26">
        <v>14</v>
      </c>
      <c r="B18" s="26" t="s">
        <v>591</v>
      </c>
      <c r="C18" s="27" t="str">
        <f>IFERROR(VLOOKUP(B18,'Matriz de riesgos'!$A:$B,2,0),"")</f>
        <v>Facturación electrónica PSE</v>
      </c>
      <c r="D18" s="23" t="str">
        <f>IFERROR(VLOOKUP(B18,'Matriz de riesgos'!$A:$K,11,0),"")</f>
        <v>Alto</v>
      </c>
      <c r="E18" s="22" t="s">
        <v>334</v>
      </c>
      <c r="F18" s="10" t="s">
        <v>695</v>
      </c>
      <c r="G18" s="10" t="s">
        <v>310</v>
      </c>
      <c r="H18" s="10" t="s">
        <v>681</v>
      </c>
      <c r="I18" s="10" t="s">
        <v>684</v>
      </c>
      <c r="J18" s="10" t="s">
        <v>693</v>
      </c>
      <c r="K18" s="10" t="s">
        <v>655</v>
      </c>
      <c r="L18" s="10"/>
      <c r="M18" s="10"/>
      <c r="N18" s="23" t="str">
        <f>IF(OR(L18="",M18=""),"",INDEX('Datos maestros'!$B$153:$F$156,VALUE(LEFT(M18,1)),VALUE(LEFT(L18,1))))</f>
        <v/>
      </c>
      <c r="O18" s="10"/>
      <c r="P18" s="10" t="s">
        <v>694</v>
      </c>
    </row>
    <row r="19" spans="1:16" ht="82.9">
      <c r="A19" s="26">
        <v>15</v>
      </c>
      <c r="B19" s="26" t="s">
        <v>596</v>
      </c>
      <c r="C19" s="27" t="str">
        <f>IFERROR(VLOOKUP(B19,'Matriz de riesgos'!$A:$B,2,0),"")</f>
        <v>Facturación electrónica PSE</v>
      </c>
      <c r="D19" s="23" t="str">
        <f>IFERROR(VLOOKUP(B19,'Matriz de riesgos'!$A:$K,11,0),"")</f>
        <v>Alto</v>
      </c>
      <c r="E19" s="22" t="s">
        <v>334</v>
      </c>
      <c r="F19" s="10" t="s">
        <v>696</v>
      </c>
      <c r="G19" s="10" t="s">
        <v>308</v>
      </c>
      <c r="H19" s="10" t="s">
        <v>681</v>
      </c>
      <c r="I19" s="10" t="s">
        <v>697</v>
      </c>
      <c r="J19" s="10" t="s">
        <v>663</v>
      </c>
      <c r="K19" s="10" t="s">
        <v>343</v>
      </c>
      <c r="L19" s="10"/>
      <c r="M19" s="10"/>
      <c r="N19" s="23" t="str">
        <f>IF(OR(L19="",M19=""),"",INDEX('Datos maestros'!$B$153:$F$156,VALUE(LEFT(M19,1)),VALUE(LEFT(L19,1))))</f>
        <v/>
      </c>
      <c r="O19" s="10"/>
      <c r="P19" s="10" t="s">
        <v>698</v>
      </c>
    </row>
    <row r="20" spans="1:16" ht="69">
      <c r="A20" s="26">
        <v>16</v>
      </c>
      <c r="B20" s="26" t="s">
        <v>600</v>
      </c>
      <c r="C20" s="27" t="str">
        <f>IFERROR(VLOOKUP(B20,'Matriz de riesgos'!$A:$B,2,0),"")</f>
        <v>Ambos</v>
      </c>
      <c r="D20" s="23" t="str">
        <f>IFERROR(VLOOKUP(B20,'Matriz de riesgos'!$A:$K,11,0),"")</f>
        <v>Medio</v>
      </c>
      <c r="E20" s="22" t="s">
        <v>334</v>
      </c>
      <c r="F20" s="10" t="s">
        <v>699</v>
      </c>
      <c r="G20" s="10" t="s">
        <v>319</v>
      </c>
      <c r="H20" s="10" t="s">
        <v>681</v>
      </c>
      <c r="I20" s="10" t="s">
        <v>697</v>
      </c>
      <c r="J20" s="10" t="s">
        <v>693</v>
      </c>
      <c r="K20" s="10" t="s">
        <v>343</v>
      </c>
      <c r="L20" s="10"/>
      <c r="M20" s="10"/>
      <c r="N20" s="23" t="str">
        <f>IF(OR(L20="",M20=""),"",INDEX('Datos maestros'!$B$153:$F$156,VALUE(LEFT(M20,1)),VALUE(LEFT(L20,1))))</f>
        <v/>
      </c>
      <c r="O20" s="10"/>
      <c r="P20" s="10" t="s">
        <v>700</v>
      </c>
    </row>
    <row r="21" spans="1:16">
      <c r="A21" s="26" t="str">
        <f t="shared" ref="A21:A50" si="0">IF(B21="","",ROW()-4)</f>
        <v/>
      </c>
      <c r="B21" s="10"/>
      <c r="C21" s="27" t="str">
        <f>IFERROR(VLOOKUP(B21,'Matriz de riesgos'!$A:$B,2,0),"")</f>
        <v/>
      </c>
      <c r="D21" s="25" t="str">
        <f>IFERROR(VLOOKUP(B21,'Matriz de riesgos'!$A:$K,11,0),"")</f>
        <v/>
      </c>
      <c r="E21" s="10"/>
      <c r="F21" s="10"/>
      <c r="G21" s="10"/>
      <c r="H21" s="10"/>
      <c r="I21" s="10"/>
      <c r="J21" s="10"/>
      <c r="K21" s="10"/>
      <c r="L21" s="10"/>
      <c r="M21" s="10"/>
      <c r="N21" s="25" t="str">
        <f>IF(OR(L21="",M21=""),"",INDEX('Datos maestros'!$B$153:$F$156,VALUE(LEFT(M21,1)),VALUE(LEFT(L21,1))))</f>
        <v/>
      </c>
      <c r="O21" s="10"/>
      <c r="P21" s="10"/>
    </row>
    <row r="22" spans="1:16">
      <c r="A22" s="26" t="str">
        <f t="shared" si="0"/>
        <v/>
      </c>
      <c r="B22" s="10"/>
      <c r="C22" s="27" t="str">
        <f>IFERROR(VLOOKUP(B22,'Matriz de riesgos'!$A:$B,2,0),"")</f>
        <v/>
      </c>
      <c r="D22" s="25" t="str">
        <f>IFERROR(VLOOKUP(B22,'Matriz de riesgos'!$A:$K,11,0),"")</f>
        <v/>
      </c>
      <c r="E22" s="10"/>
      <c r="F22" s="10"/>
      <c r="G22" s="10"/>
      <c r="H22" s="10"/>
      <c r="I22" s="10"/>
      <c r="J22" s="10"/>
      <c r="K22" s="10"/>
      <c r="L22" s="10"/>
      <c r="M22" s="10"/>
      <c r="N22" s="25" t="str">
        <f>IF(OR(L22="",M22=""),"",INDEX('Datos maestros'!$B$153:$F$156,VALUE(LEFT(M22,1)),VALUE(LEFT(L22,1))))</f>
        <v/>
      </c>
      <c r="O22" s="10"/>
      <c r="P22" s="10"/>
    </row>
    <row r="23" spans="1:16">
      <c r="A23" s="26" t="str">
        <f t="shared" si="0"/>
        <v/>
      </c>
      <c r="B23" s="10"/>
      <c r="C23" s="27" t="str">
        <f>IFERROR(VLOOKUP(B23,'Matriz de riesgos'!$A:$B,2,0),"")</f>
        <v/>
      </c>
      <c r="D23" s="25" t="str">
        <f>IFERROR(VLOOKUP(B23,'Matriz de riesgos'!$A:$K,11,0),"")</f>
        <v/>
      </c>
      <c r="E23" s="10"/>
      <c r="F23" s="10"/>
      <c r="G23" s="10"/>
      <c r="H23" s="10"/>
      <c r="I23" s="10"/>
      <c r="J23" s="10"/>
      <c r="K23" s="10"/>
      <c r="L23" s="10"/>
      <c r="M23" s="10"/>
      <c r="N23" s="25" t="str">
        <f>IF(OR(L23="",M23=""),"",INDEX('Datos maestros'!$B$153:$F$156,VALUE(LEFT(M23,1)),VALUE(LEFT(L23,1))))</f>
        <v/>
      </c>
      <c r="O23" s="10"/>
      <c r="P23" s="10"/>
    </row>
    <row r="24" spans="1:16">
      <c r="A24" s="26" t="str">
        <f t="shared" si="0"/>
        <v/>
      </c>
      <c r="B24" s="10"/>
      <c r="C24" s="27" t="str">
        <f>IFERROR(VLOOKUP(B24,'Matriz de riesgos'!$A:$B,2,0),"")</f>
        <v/>
      </c>
      <c r="D24" s="25" t="str">
        <f>IFERROR(VLOOKUP(B24,'Matriz de riesgos'!$A:$K,11,0),"")</f>
        <v/>
      </c>
      <c r="E24" s="10"/>
      <c r="F24" s="10"/>
      <c r="G24" s="10"/>
      <c r="H24" s="10"/>
      <c r="I24" s="10"/>
      <c r="J24" s="10"/>
      <c r="K24" s="10"/>
      <c r="L24" s="10"/>
      <c r="M24" s="10"/>
      <c r="N24" s="25" t="str">
        <f>IF(OR(L24="",M24=""),"",INDEX('Datos maestros'!$B$153:$F$156,VALUE(LEFT(M24,1)),VALUE(LEFT(L24,1))))</f>
        <v/>
      </c>
      <c r="O24" s="10"/>
      <c r="P24" s="10"/>
    </row>
    <row r="25" spans="1:16">
      <c r="A25" s="26" t="str">
        <f t="shared" si="0"/>
        <v/>
      </c>
      <c r="B25" s="10"/>
      <c r="C25" s="27" t="str">
        <f>IFERROR(VLOOKUP(B25,'Matriz de riesgos'!$A:$B,2,0),"")</f>
        <v/>
      </c>
      <c r="D25" s="25" t="str">
        <f>IFERROR(VLOOKUP(B25,'Matriz de riesgos'!$A:$K,11,0),"")</f>
        <v/>
      </c>
      <c r="E25" s="10"/>
      <c r="F25" s="10"/>
      <c r="G25" s="10"/>
      <c r="H25" s="10"/>
      <c r="I25" s="10"/>
      <c r="J25" s="10"/>
      <c r="K25" s="10"/>
      <c r="L25" s="10"/>
      <c r="M25" s="10"/>
      <c r="N25" s="25" t="str">
        <f>IF(OR(L25="",M25=""),"",INDEX('Datos maestros'!$B$153:$F$156,VALUE(LEFT(M25,1)),VALUE(LEFT(L25,1))))</f>
        <v/>
      </c>
      <c r="O25" s="10"/>
      <c r="P25" s="10"/>
    </row>
    <row r="26" spans="1:16">
      <c r="A26" s="26" t="str">
        <f t="shared" si="0"/>
        <v/>
      </c>
      <c r="B26" s="10"/>
      <c r="C26" s="27" t="str">
        <f>IFERROR(VLOOKUP(B26,'Matriz de riesgos'!$A:$B,2,0),"")</f>
        <v/>
      </c>
      <c r="D26" s="25" t="str">
        <f>IFERROR(VLOOKUP(B26,'Matriz de riesgos'!$A:$K,11,0),"")</f>
        <v/>
      </c>
      <c r="E26" s="10"/>
      <c r="F26" s="10"/>
      <c r="G26" s="10"/>
      <c r="H26" s="10"/>
      <c r="I26" s="10"/>
      <c r="J26" s="10"/>
      <c r="K26" s="10"/>
      <c r="L26" s="10"/>
      <c r="M26" s="10"/>
      <c r="N26" s="25" t="str">
        <f>IF(OR(L26="",M26=""),"",INDEX('Datos maestros'!$B$153:$F$156,VALUE(LEFT(M26,1)),VALUE(LEFT(L26,1))))</f>
        <v/>
      </c>
      <c r="O26" s="10"/>
      <c r="P26" s="10"/>
    </row>
    <row r="27" spans="1:16">
      <c r="A27" s="26" t="str">
        <f t="shared" si="0"/>
        <v/>
      </c>
      <c r="B27" s="10"/>
      <c r="C27" s="27" t="str">
        <f>IFERROR(VLOOKUP(B27,'Matriz de riesgos'!$A:$B,2,0),"")</f>
        <v/>
      </c>
      <c r="D27" s="25" t="str">
        <f>IFERROR(VLOOKUP(B27,'Matriz de riesgos'!$A:$K,11,0),"")</f>
        <v/>
      </c>
      <c r="E27" s="10"/>
      <c r="F27" s="10"/>
      <c r="G27" s="10"/>
      <c r="H27" s="10"/>
      <c r="I27" s="10"/>
      <c r="J27" s="10"/>
      <c r="K27" s="10"/>
      <c r="L27" s="10"/>
      <c r="M27" s="10"/>
      <c r="N27" s="25" t="str">
        <f>IF(OR(L27="",M27=""),"",INDEX('Datos maestros'!$B$153:$F$156,VALUE(LEFT(M27,1)),VALUE(LEFT(L27,1))))</f>
        <v/>
      </c>
      <c r="O27" s="10"/>
      <c r="P27" s="10"/>
    </row>
    <row r="28" spans="1:16">
      <c r="A28" s="26" t="str">
        <f t="shared" si="0"/>
        <v/>
      </c>
      <c r="B28" s="10"/>
      <c r="C28" s="27" t="str">
        <f>IFERROR(VLOOKUP(B28,'Matriz de riesgos'!$A:$B,2,0),"")</f>
        <v/>
      </c>
      <c r="D28" s="25" t="str">
        <f>IFERROR(VLOOKUP(B28,'Matriz de riesgos'!$A:$K,11,0),"")</f>
        <v/>
      </c>
      <c r="E28" s="10"/>
      <c r="F28" s="10"/>
      <c r="G28" s="10"/>
      <c r="H28" s="10"/>
      <c r="I28" s="10"/>
      <c r="J28" s="10"/>
      <c r="K28" s="10"/>
      <c r="L28" s="10"/>
      <c r="M28" s="10"/>
      <c r="N28" s="25" t="str">
        <f>IF(OR(L28="",M28=""),"",INDEX('Datos maestros'!$B$153:$F$156,VALUE(LEFT(M28,1)),VALUE(LEFT(L28,1))))</f>
        <v/>
      </c>
      <c r="O28" s="10"/>
      <c r="P28" s="10"/>
    </row>
    <row r="29" spans="1:16">
      <c r="A29" s="26" t="str">
        <f t="shared" si="0"/>
        <v/>
      </c>
      <c r="B29" s="10"/>
      <c r="C29" s="27" t="str">
        <f>IFERROR(VLOOKUP(B29,'Matriz de riesgos'!$A:$B,2,0),"")</f>
        <v/>
      </c>
      <c r="D29" s="25" t="str">
        <f>IFERROR(VLOOKUP(B29,'Matriz de riesgos'!$A:$K,11,0),"")</f>
        <v/>
      </c>
      <c r="E29" s="10"/>
      <c r="F29" s="10"/>
      <c r="G29" s="10"/>
      <c r="H29" s="10"/>
      <c r="I29" s="10"/>
      <c r="J29" s="10"/>
      <c r="K29" s="10"/>
      <c r="L29" s="10"/>
      <c r="M29" s="10"/>
      <c r="N29" s="25" t="str">
        <f>IF(OR(L29="",M29=""),"",INDEX('Datos maestros'!$B$153:$F$156,VALUE(LEFT(M29,1)),VALUE(LEFT(L29,1))))</f>
        <v/>
      </c>
      <c r="O29" s="10"/>
      <c r="P29" s="10"/>
    </row>
    <row r="30" spans="1:16">
      <c r="A30" s="26" t="str">
        <f t="shared" si="0"/>
        <v/>
      </c>
      <c r="B30" s="10"/>
      <c r="C30" s="27" t="str">
        <f>IFERROR(VLOOKUP(B30,'Matriz de riesgos'!$A:$B,2,0),"")</f>
        <v/>
      </c>
      <c r="D30" s="25" t="str">
        <f>IFERROR(VLOOKUP(B30,'Matriz de riesgos'!$A:$K,11,0),"")</f>
        <v/>
      </c>
      <c r="E30" s="10"/>
      <c r="F30" s="10"/>
      <c r="G30" s="10"/>
      <c r="H30" s="10"/>
      <c r="I30" s="10"/>
      <c r="J30" s="10"/>
      <c r="K30" s="10"/>
      <c r="L30" s="10"/>
      <c r="M30" s="10"/>
      <c r="N30" s="25" t="str">
        <f>IF(OR(L30="",M30=""),"",INDEX('Datos maestros'!$B$153:$F$156,VALUE(LEFT(M30,1)),VALUE(LEFT(L30,1))))</f>
        <v/>
      </c>
      <c r="O30" s="10"/>
      <c r="P30" s="10"/>
    </row>
    <row r="31" spans="1:16">
      <c r="A31" s="26" t="str">
        <f t="shared" si="0"/>
        <v/>
      </c>
      <c r="B31" s="10"/>
      <c r="C31" s="27" t="str">
        <f>IFERROR(VLOOKUP(B31,'Matriz de riesgos'!$A:$B,2,0),"")</f>
        <v/>
      </c>
      <c r="D31" s="25" t="str">
        <f>IFERROR(VLOOKUP(B31,'Matriz de riesgos'!$A:$K,11,0),"")</f>
        <v/>
      </c>
      <c r="E31" s="10"/>
      <c r="F31" s="10"/>
      <c r="G31" s="10"/>
      <c r="H31" s="10"/>
      <c r="I31" s="10"/>
      <c r="J31" s="10"/>
      <c r="K31" s="10"/>
      <c r="L31" s="10"/>
      <c r="M31" s="10"/>
      <c r="N31" s="25" t="str">
        <f>IF(OR(L31="",M31=""),"",INDEX('Datos maestros'!$B$153:$F$156,VALUE(LEFT(M31,1)),VALUE(LEFT(L31,1))))</f>
        <v/>
      </c>
      <c r="O31" s="10"/>
      <c r="P31" s="10"/>
    </row>
    <row r="32" spans="1:16">
      <c r="A32" s="26" t="str">
        <f t="shared" si="0"/>
        <v/>
      </c>
      <c r="B32" s="10"/>
      <c r="C32" s="27" t="str">
        <f>IFERROR(VLOOKUP(B32,'Matriz de riesgos'!$A:$B,2,0),"")</f>
        <v/>
      </c>
      <c r="D32" s="25" t="str">
        <f>IFERROR(VLOOKUP(B32,'Matriz de riesgos'!$A:$K,11,0),"")</f>
        <v/>
      </c>
      <c r="E32" s="10"/>
      <c r="F32" s="10"/>
      <c r="G32" s="10"/>
      <c r="H32" s="10"/>
      <c r="I32" s="10"/>
      <c r="J32" s="10"/>
      <c r="K32" s="10"/>
      <c r="L32" s="10"/>
      <c r="M32" s="10"/>
      <c r="N32" s="25" t="str">
        <f>IF(OR(L32="",M32=""),"",INDEX('Datos maestros'!$B$153:$F$156,VALUE(LEFT(M32,1)),VALUE(LEFT(L32,1))))</f>
        <v/>
      </c>
      <c r="O32" s="10"/>
      <c r="P32" s="10"/>
    </row>
    <row r="33" spans="1:16">
      <c r="A33" s="26" t="str">
        <f t="shared" si="0"/>
        <v/>
      </c>
      <c r="B33" s="10"/>
      <c r="C33" s="27" t="str">
        <f>IFERROR(VLOOKUP(B33,'Matriz de riesgos'!$A:$B,2,0),"")</f>
        <v/>
      </c>
      <c r="D33" s="25" t="str">
        <f>IFERROR(VLOOKUP(B33,'Matriz de riesgos'!$A:$K,11,0),"")</f>
        <v/>
      </c>
      <c r="E33" s="10"/>
      <c r="F33" s="10"/>
      <c r="G33" s="10"/>
      <c r="H33" s="10"/>
      <c r="I33" s="10"/>
      <c r="J33" s="10"/>
      <c r="K33" s="10"/>
      <c r="L33" s="10"/>
      <c r="M33" s="10"/>
      <c r="N33" s="25" t="str">
        <f>IF(OR(L33="",M33=""),"",INDEX('Datos maestros'!$B$153:$F$156,VALUE(LEFT(M33,1)),VALUE(LEFT(L33,1))))</f>
        <v/>
      </c>
      <c r="O33" s="10"/>
      <c r="P33" s="10"/>
    </row>
    <row r="34" spans="1:16">
      <c r="A34" s="26" t="str">
        <f t="shared" si="0"/>
        <v/>
      </c>
      <c r="B34" s="10"/>
      <c r="C34" s="27" t="str">
        <f>IFERROR(VLOOKUP(B34,'Matriz de riesgos'!$A:$B,2,0),"")</f>
        <v/>
      </c>
      <c r="D34" s="25" t="str">
        <f>IFERROR(VLOOKUP(B34,'Matriz de riesgos'!$A:$K,11,0),"")</f>
        <v/>
      </c>
      <c r="E34" s="10"/>
      <c r="F34" s="10"/>
      <c r="G34" s="10"/>
      <c r="H34" s="10"/>
      <c r="I34" s="10"/>
      <c r="J34" s="10"/>
      <c r="K34" s="10"/>
      <c r="L34" s="10"/>
      <c r="M34" s="10"/>
      <c r="N34" s="25" t="str">
        <f>IF(OR(L34="",M34=""),"",INDEX('Datos maestros'!$B$153:$F$156,VALUE(LEFT(M34,1)),VALUE(LEFT(L34,1))))</f>
        <v/>
      </c>
      <c r="O34" s="10"/>
      <c r="P34" s="10"/>
    </row>
    <row r="35" spans="1:16">
      <c r="A35" s="26" t="str">
        <f t="shared" si="0"/>
        <v/>
      </c>
      <c r="B35" s="10"/>
      <c r="C35" s="27" t="str">
        <f>IFERROR(VLOOKUP(B35,'Matriz de riesgos'!$A:$B,2,0),"")</f>
        <v/>
      </c>
      <c r="D35" s="25" t="str">
        <f>IFERROR(VLOOKUP(B35,'Matriz de riesgos'!$A:$K,11,0),"")</f>
        <v/>
      </c>
      <c r="E35" s="10"/>
      <c r="F35" s="10"/>
      <c r="G35" s="10"/>
      <c r="H35" s="10"/>
      <c r="I35" s="10"/>
      <c r="J35" s="10"/>
      <c r="K35" s="10"/>
      <c r="L35" s="10"/>
      <c r="M35" s="10"/>
      <c r="N35" s="25" t="str">
        <f>IF(OR(L35="",M35=""),"",INDEX('Datos maestros'!$B$153:$F$156,VALUE(LEFT(M35,1)),VALUE(LEFT(L35,1))))</f>
        <v/>
      </c>
      <c r="O35" s="10"/>
      <c r="P35" s="10"/>
    </row>
    <row r="36" spans="1:16">
      <c r="A36" s="26" t="str">
        <f t="shared" si="0"/>
        <v/>
      </c>
      <c r="B36" s="10"/>
      <c r="C36" s="27" t="str">
        <f>IFERROR(VLOOKUP(B36,'Matriz de riesgos'!$A:$B,2,0),"")</f>
        <v/>
      </c>
      <c r="D36" s="25" t="str">
        <f>IFERROR(VLOOKUP(B36,'Matriz de riesgos'!$A:$K,11,0),"")</f>
        <v/>
      </c>
      <c r="E36" s="10"/>
      <c r="F36" s="10"/>
      <c r="G36" s="10"/>
      <c r="H36" s="10"/>
      <c r="I36" s="10"/>
      <c r="J36" s="10"/>
      <c r="K36" s="10"/>
      <c r="L36" s="10"/>
      <c r="M36" s="10"/>
      <c r="N36" s="25" t="str">
        <f>IF(OR(L36="",M36=""),"",INDEX('Datos maestros'!$B$153:$F$156,VALUE(LEFT(M36,1)),VALUE(LEFT(L36,1))))</f>
        <v/>
      </c>
      <c r="O36" s="10"/>
      <c r="P36" s="10"/>
    </row>
    <row r="37" spans="1:16">
      <c r="A37" s="26" t="str">
        <f t="shared" si="0"/>
        <v/>
      </c>
      <c r="B37" s="10"/>
      <c r="C37" s="27" t="str">
        <f>IFERROR(VLOOKUP(B37,'Matriz de riesgos'!$A:$B,2,0),"")</f>
        <v/>
      </c>
      <c r="D37" s="25" t="str">
        <f>IFERROR(VLOOKUP(B37,'Matriz de riesgos'!$A:$K,11,0),"")</f>
        <v/>
      </c>
      <c r="E37" s="10"/>
      <c r="F37" s="10"/>
      <c r="G37" s="10"/>
      <c r="H37" s="10"/>
      <c r="I37" s="10"/>
      <c r="J37" s="10"/>
      <c r="K37" s="10"/>
      <c r="L37" s="10"/>
      <c r="M37" s="10"/>
      <c r="N37" s="25" t="str">
        <f>IF(OR(L37="",M37=""),"",INDEX('Datos maestros'!$B$153:$F$156,VALUE(LEFT(M37,1)),VALUE(LEFT(L37,1))))</f>
        <v/>
      </c>
      <c r="O37" s="10"/>
      <c r="P37" s="10"/>
    </row>
    <row r="38" spans="1:16">
      <c r="A38" s="26" t="str">
        <f t="shared" si="0"/>
        <v/>
      </c>
      <c r="B38" s="10"/>
      <c r="C38" s="27" t="str">
        <f>IFERROR(VLOOKUP(B38,'Matriz de riesgos'!$A:$B,2,0),"")</f>
        <v/>
      </c>
      <c r="D38" s="25" t="str">
        <f>IFERROR(VLOOKUP(B38,'Matriz de riesgos'!$A:$K,11,0),"")</f>
        <v/>
      </c>
      <c r="E38" s="10"/>
      <c r="F38" s="10"/>
      <c r="G38" s="10"/>
      <c r="H38" s="10"/>
      <c r="I38" s="10"/>
      <c r="J38" s="10"/>
      <c r="K38" s="10"/>
      <c r="L38" s="10"/>
      <c r="M38" s="10"/>
      <c r="N38" s="25" t="str">
        <f>IF(OR(L38="",M38=""),"",INDEX('Datos maestros'!$B$153:$F$156,VALUE(LEFT(M38,1)),VALUE(LEFT(L38,1))))</f>
        <v/>
      </c>
      <c r="O38" s="10"/>
      <c r="P38" s="10"/>
    </row>
    <row r="39" spans="1:16">
      <c r="A39" s="26" t="str">
        <f t="shared" si="0"/>
        <v/>
      </c>
      <c r="B39" s="10"/>
      <c r="C39" s="27" t="str">
        <f>IFERROR(VLOOKUP(B39,'Matriz de riesgos'!$A:$B,2,0),"")</f>
        <v/>
      </c>
      <c r="D39" s="25" t="str">
        <f>IFERROR(VLOOKUP(B39,'Matriz de riesgos'!$A:$K,11,0),"")</f>
        <v/>
      </c>
      <c r="E39" s="10"/>
      <c r="F39" s="10"/>
      <c r="G39" s="10"/>
      <c r="H39" s="10"/>
      <c r="I39" s="10"/>
      <c r="J39" s="10"/>
      <c r="K39" s="10"/>
      <c r="L39" s="10"/>
      <c r="M39" s="10"/>
      <c r="N39" s="25" t="str">
        <f>IF(OR(L39="",M39=""),"",INDEX('Datos maestros'!$B$153:$F$156,VALUE(LEFT(M39,1)),VALUE(LEFT(L39,1))))</f>
        <v/>
      </c>
      <c r="O39" s="10"/>
      <c r="P39" s="10"/>
    </row>
    <row r="40" spans="1:16">
      <c r="A40" s="26" t="str">
        <f t="shared" si="0"/>
        <v/>
      </c>
      <c r="B40" s="10"/>
      <c r="C40" s="27" t="str">
        <f>IFERROR(VLOOKUP(B40,'Matriz de riesgos'!$A:$B,2,0),"")</f>
        <v/>
      </c>
      <c r="D40" s="25" t="str">
        <f>IFERROR(VLOOKUP(B40,'Matriz de riesgos'!$A:$K,11,0),"")</f>
        <v/>
      </c>
      <c r="E40" s="10"/>
      <c r="F40" s="10"/>
      <c r="G40" s="10"/>
      <c r="H40" s="10"/>
      <c r="I40" s="10"/>
      <c r="J40" s="10"/>
      <c r="K40" s="10"/>
      <c r="L40" s="10"/>
      <c r="M40" s="10"/>
      <c r="N40" s="25" t="str">
        <f>IF(OR(L40="",M40=""),"",INDEX('Datos maestros'!$B$153:$F$156,VALUE(LEFT(M40,1)),VALUE(LEFT(L40,1))))</f>
        <v/>
      </c>
      <c r="O40" s="10"/>
      <c r="P40" s="10"/>
    </row>
    <row r="41" spans="1:16">
      <c r="A41" s="26" t="str">
        <f t="shared" si="0"/>
        <v/>
      </c>
      <c r="B41" s="10"/>
      <c r="C41" s="27" t="str">
        <f>IFERROR(VLOOKUP(B41,'Matriz de riesgos'!$A:$B,2,0),"")</f>
        <v/>
      </c>
      <c r="D41" s="25" t="str">
        <f>IFERROR(VLOOKUP(B41,'Matriz de riesgos'!$A:$K,11,0),"")</f>
        <v/>
      </c>
      <c r="E41" s="10"/>
      <c r="F41" s="10"/>
      <c r="G41" s="10"/>
      <c r="H41" s="10"/>
      <c r="I41" s="10"/>
      <c r="J41" s="10"/>
      <c r="K41" s="10"/>
      <c r="L41" s="10"/>
      <c r="M41" s="10"/>
      <c r="N41" s="25" t="str">
        <f>IF(OR(L41="",M41=""),"",INDEX('Datos maestros'!$B$153:$F$156,VALUE(LEFT(M41,1)),VALUE(LEFT(L41,1))))</f>
        <v/>
      </c>
      <c r="O41" s="10"/>
      <c r="P41" s="10"/>
    </row>
    <row r="42" spans="1:16">
      <c r="A42" s="26" t="str">
        <f t="shared" si="0"/>
        <v/>
      </c>
      <c r="B42" s="10"/>
      <c r="C42" s="27" t="str">
        <f>IFERROR(VLOOKUP(B42,'Matriz de riesgos'!$A:$B,2,0),"")</f>
        <v/>
      </c>
      <c r="D42" s="25" t="str">
        <f>IFERROR(VLOOKUP(B42,'Matriz de riesgos'!$A:$K,11,0),"")</f>
        <v/>
      </c>
      <c r="E42" s="10"/>
      <c r="F42" s="10"/>
      <c r="G42" s="10"/>
      <c r="H42" s="10"/>
      <c r="I42" s="10"/>
      <c r="J42" s="10"/>
      <c r="K42" s="10"/>
      <c r="L42" s="10"/>
      <c r="M42" s="10"/>
      <c r="N42" s="25" t="str">
        <f>IF(OR(L42="",M42=""),"",INDEX('Datos maestros'!$B$153:$F$156,VALUE(LEFT(M42,1)),VALUE(LEFT(L42,1))))</f>
        <v/>
      </c>
      <c r="O42" s="10"/>
      <c r="P42" s="10"/>
    </row>
    <row r="43" spans="1:16">
      <c r="A43" s="26" t="str">
        <f t="shared" si="0"/>
        <v/>
      </c>
      <c r="B43" s="10"/>
      <c r="C43" s="27" t="str">
        <f>IFERROR(VLOOKUP(B43,'Matriz de riesgos'!$A:$B,2,0),"")</f>
        <v/>
      </c>
      <c r="D43" s="25" t="str">
        <f>IFERROR(VLOOKUP(B43,'Matriz de riesgos'!$A:$K,11,0),"")</f>
        <v/>
      </c>
      <c r="E43" s="10"/>
      <c r="F43" s="10"/>
      <c r="G43" s="10"/>
      <c r="H43" s="10"/>
      <c r="I43" s="10"/>
      <c r="J43" s="10"/>
      <c r="K43" s="10"/>
      <c r="L43" s="10"/>
      <c r="M43" s="10"/>
      <c r="N43" s="25" t="str">
        <f>IF(OR(L43="",M43=""),"",INDEX('Datos maestros'!$B$153:$F$156,VALUE(LEFT(M43,1)),VALUE(LEFT(L43,1))))</f>
        <v/>
      </c>
      <c r="O43" s="10"/>
      <c r="P43" s="10"/>
    </row>
    <row r="44" spans="1:16">
      <c r="A44" s="26" t="str">
        <f t="shared" si="0"/>
        <v/>
      </c>
      <c r="B44" s="10"/>
      <c r="C44" s="27" t="str">
        <f>IFERROR(VLOOKUP(B44,'Matriz de riesgos'!$A:$B,2,0),"")</f>
        <v/>
      </c>
      <c r="D44" s="25" t="str">
        <f>IFERROR(VLOOKUP(B44,'Matriz de riesgos'!$A:$K,11,0),"")</f>
        <v/>
      </c>
      <c r="E44" s="10"/>
      <c r="F44" s="10"/>
      <c r="G44" s="10"/>
      <c r="H44" s="10"/>
      <c r="I44" s="10"/>
      <c r="J44" s="10"/>
      <c r="K44" s="10"/>
      <c r="L44" s="10"/>
      <c r="M44" s="10"/>
      <c r="N44" s="25" t="str">
        <f>IF(OR(L44="",M44=""),"",INDEX('Datos maestros'!$B$153:$F$156,VALUE(LEFT(M44,1)),VALUE(LEFT(L44,1))))</f>
        <v/>
      </c>
      <c r="O44" s="10"/>
      <c r="P44" s="10"/>
    </row>
    <row r="45" spans="1:16">
      <c r="A45" s="26" t="str">
        <f t="shared" si="0"/>
        <v/>
      </c>
      <c r="B45" s="10"/>
      <c r="C45" s="27" t="str">
        <f>IFERROR(VLOOKUP(B45,'Matriz de riesgos'!$A:$B,2,0),"")</f>
        <v/>
      </c>
      <c r="D45" s="25" t="str">
        <f>IFERROR(VLOOKUP(B45,'Matriz de riesgos'!$A:$K,11,0),"")</f>
        <v/>
      </c>
      <c r="E45" s="10"/>
      <c r="F45" s="10"/>
      <c r="G45" s="10"/>
      <c r="H45" s="10"/>
      <c r="I45" s="10"/>
      <c r="J45" s="10"/>
      <c r="K45" s="10"/>
      <c r="L45" s="10"/>
      <c r="M45" s="10"/>
      <c r="N45" s="25" t="str">
        <f>IF(OR(L45="",M45=""),"",INDEX('Datos maestros'!$B$153:$F$156,VALUE(LEFT(M45,1)),VALUE(LEFT(L45,1))))</f>
        <v/>
      </c>
      <c r="O45" s="10"/>
      <c r="P45" s="10"/>
    </row>
    <row r="46" spans="1:16">
      <c r="A46" s="26" t="str">
        <f t="shared" si="0"/>
        <v/>
      </c>
      <c r="B46" s="10"/>
      <c r="C46" s="27" t="str">
        <f>IFERROR(VLOOKUP(B46,'Matriz de riesgos'!$A:$B,2,0),"")</f>
        <v/>
      </c>
      <c r="D46" s="25" t="str">
        <f>IFERROR(VLOOKUP(B46,'Matriz de riesgos'!$A:$K,11,0),"")</f>
        <v/>
      </c>
      <c r="E46" s="10"/>
      <c r="F46" s="10"/>
      <c r="G46" s="10"/>
      <c r="H46" s="10"/>
      <c r="I46" s="10"/>
      <c r="J46" s="10"/>
      <c r="K46" s="10"/>
      <c r="L46" s="10"/>
      <c r="M46" s="10"/>
      <c r="N46" s="25" t="str">
        <f>IF(OR(L46="",M46=""),"",INDEX('Datos maestros'!$B$153:$F$156,VALUE(LEFT(M46,1)),VALUE(LEFT(L46,1))))</f>
        <v/>
      </c>
      <c r="O46" s="10"/>
      <c r="P46" s="10"/>
    </row>
    <row r="47" spans="1:16">
      <c r="A47" s="26" t="str">
        <f t="shared" si="0"/>
        <v/>
      </c>
      <c r="B47" s="10"/>
      <c r="C47" s="27" t="str">
        <f>IFERROR(VLOOKUP(B47,'Matriz de riesgos'!$A:$B,2,0),"")</f>
        <v/>
      </c>
      <c r="D47" s="25" t="str">
        <f>IFERROR(VLOOKUP(B47,'Matriz de riesgos'!$A:$K,11,0),"")</f>
        <v/>
      </c>
      <c r="E47" s="10"/>
      <c r="F47" s="10"/>
      <c r="G47" s="10"/>
      <c r="H47" s="10"/>
      <c r="I47" s="10"/>
      <c r="J47" s="10"/>
      <c r="K47" s="10"/>
      <c r="L47" s="10"/>
      <c r="M47" s="10"/>
      <c r="N47" s="25" t="str">
        <f>IF(OR(L47="",M47=""),"",INDEX('Datos maestros'!$B$153:$F$156,VALUE(LEFT(M47,1)),VALUE(LEFT(L47,1))))</f>
        <v/>
      </c>
      <c r="O47" s="10"/>
      <c r="P47" s="10"/>
    </row>
    <row r="48" spans="1:16">
      <c r="A48" s="26" t="str">
        <f t="shared" si="0"/>
        <v/>
      </c>
      <c r="B48" s="10"/>
      <c r="C48" s="27" t="str">
        <f>IFERROR(VLOOKUP(B48,'Matriz de riesgos'!$A:$B,2,0),"")</f>
        <v/>
      </c>
      <c r="D48" s="25" t="str">
        <f>IFERROR(VLOOKUP(B48,'Matriz de riesgos'!$A:$K,11,0),"")</f>
        <v/>
      </c>
      <c r="E48" s="10"/>
      <c r="F48" s="10"/>
      <c r="G48" s="10"/>
      <c r="H48" s="10"/>
      <c r="I48" s="10"/>
      <c r="J48" s="10"/>
      <c r="K48" s="10"/>
      <c r="L48" s="10"/>
      <c r="M48" s="10"/>
      <c r="N48" s="25" t="str">
        <f>IF(OR(L48="",M48=""),"",INDEX('Datos maestros'!$B$153:$F$156,VALUE(LEFT(M48,1)),VALUE(LEFT(L48,1))))</f>
        <v/>
      </c>
      <c r="O48" s="10"/>
      <c r="P48" s="10"/>
    </row>
    <row r="49" spans="1:16">
      <c r="A49" s="26" t="str">
        <f t="shared" si="0"/>
        <v/>
      </c>
      <c r="B49" s="10"/>
      <c r="C49" s="27" t="str">
        <f>IFERROR(VLOOKUP(B49,'Matriz de riesgos'!$A:$B,2,0),"")</f>
        <v/>
      </c>
      <c r="D49" s="25" t="str">
        <f>IFERROR(VLOOKUP(B49,'Matriz de riesgos'!$A:$K,11,0),"")</f>
        <v/>
      </c>
      <c r="E49" s="10"/>
      <c r="F49" s="10"/>
      <c r="G49" s="10"/>
      <c r="H49" s="10"/>
      <c r="I49" s="10"/>
      <c r="J49" s="10"/>
      <c r="K49" s="10"/>
      <c r="L49" s="10"/>
      <c r="M49" s="10"/>
      <c r="N49" s="25" t="str">
        <f>IF(OR(L49="",M49=""),"",INDEX('Datos maestros'!$B$153:$F$156,VALUE(LEFT(M49,1)),VALUE(LEFT(L49,1))))</f>
        <v/>
      </c>
      <c r="O49" s="10"/>
      <c r="P49" s="10"/>
    </row>
    <row r="50" spans="1:16">
      <c r="A50" s="26" t="str">
        <f t="shared" si="0"/>
        <v/>
      </c>
      <c r="B50" s="10"/>
      <c r="C50" s="27" t="str">
        <f>IFERROR(VLOOKUP(B50,'Matriz de riesgos'!$A:$B,2,0),"")</f>
        <v/>
      </c>
      <c r="D50" s="25" t="str">
        <f>IFERROR(VLOOKUP(B50,'Matriz de riesgos'!$A:$K,11,0),"")</f>
        <v/>
      </c>
      <c r="E50" s="10"/>
      <c r="F50" s="10"/>
      <c r="G50" s="10"/>
      <c r="H50" s="10"/>
      <c r="I50" s="10"/>
      <c r="J50" s="10"/>
      <c r="K50" s="10"/>
      <c r="L50" s="10"/>
      <c r="M50" s="10"/>
      <c r="N50" s="25" t="str">
        <f>IF(OR(L50="",M50=""),"",INDEX('Datos maestros'!$B$153:$F$156,VALUE(LEFT(M50,1)),VALUE(LEFT(L50,1))))</f>
        <v/>
      </c>
      <c r="O50" s="10"/>
      <c r="P50" s="10"/>
    </row>
  </sheetData>
  <mergeCells count="6">
    <mergeCell ref="A1:Q1"/>
    <mergeCell ref="A2:Q2"/>
    <mergeCell ref="A3:D3"/>
    <mergeCell ref="E3:K3"/>
    <mergeCell ref="L3:N3"/>
    <mergeCell ref="O3:P3"/>
  </mergeCells>
  <conditionalFormatting sqref="D5:D50">
    <cfRule type="cellIs" dxfId="13" priority="2" operator="equal">
      <formula>"Muy bajo"</formula>
    </cfRule>
    <cfRule type="cellIs" dxfId="12" priority="3" operator="equal">
      <formula>"Bajo"</formula>
    </cfRule>
    <cfRule type="cellIs" dxfId="11" priority="4" operator="equal">
      <formula>"Medio"</formula>
    </cfRule>
    <cfRule type="cellIs" dxfId="10" priority="5" operator="equal">
      <formula>"Alto"</formula>
    </cfRule>
    <cfRule type="cellIs" dxfId="9" priority="6" operator="equal">
      <formula>"Muy alto"</formula>
    </cfRule>
  </conditionalFormatting>
  <conditionalFormatting sqref="K5:K50">
    <cfRule type="cellIs" dxfId="8" priority="12" operator="equal">
      <formula>"Pendiente"</formula>
    </cfRule>
    <cfRule type="cellIs" dxfId="7" priority="13" operator="equal">
      <formula>"En tratamiento"</formula>
    </cfRule>
    <cfRule type="cellIs" dxfId="6" priority="14" operator="equal">
      <formula>"Mitigado / Cerrado"</formula>
    </cfRule>
    <cfRule type="cellIs" dxfId="5" priority="15" operator="equal">
      <formula>"Aceptado"</formula>
    </cfRule>
  </conditionalFormatting>
  <conditionalFormatting sqref="N5:N50">
    <cfRule type="cellIs" dxfId="4" priority="7" operator="equal">
      <formula>"Muy bajo"</formula>
    </cfRule>
    <cfRule type="cellIs" dxfId="3" priority="8" operator="equal">
      <formula>"Bajo"</formula>
    </cfRule>
    <cfRule type="cellIs" dxfId="2" priority="9" operator="equal">
      <formula>"Medio"</formula>
    </cfRule>
    <cfRule type="cellIs" dxfId="1" priority="10" operator="equal">
      <formula>"Alto"</formula>
    </cfRule>
    <cfRule type="cellIs" dxfId="0" priority="11" operator="equal">
      <formula>"Muy alto"</formula>
    </cfRule>
  </conditionalFormatting>
  <pageMargins left="0.75" right="0.75" top="1" bottom="1" header="0.511811023622047" footer="0.511811023622047"/>
  <pageSetup paperSize="9" orientation="portrait" horizontalDpi="300" verticalDpi="300"/>
  <headerFooter>
    <oddHeader>&amp;R&amp;"Aptos"&amp;10&amp;K000000 Uso interno&amp;1#_x000D_</oddHeader>
  </headerFooter>
  <extLst>
    <ext xmlns:x14="http://schemas.microsoft.com/office/spreadsheetml/2009/9/main" uri="{CCE6A557-97BC-4b89-ADB6-D9C93CAAB3DF}">
      <x14:dataValidations xmlns:xm="http://schemas.microsoft.com/office/excel/2006/main" count="6">
        <x14:dataValidation type="list" allowBlank="1" xr:uid="{00000000-0002-0000-0300-000000000000}">
          <x14:formula1>
            <xm:f>'Matriz de riesgos'!$A$5:$A$80</xm:f>
          </x14:formula1>
          <x14:formula2>
            <xm:f>0</xm:f>
          </x14:formula2>
          <xm:sqref>B5:B51</xm:sqref>
        </x14:dataValidation>
        <x14:dataValidation type="list" allowBlank="1" xr:uid="{00000000-0002-0000-0300-000001000000}">
          <x14:formula1>
            <xm:f>'Datos maestros'!$A$187:$A$190</xm:f>
          </x14:formula1>
          <x14:formula2>
            <xm:f>0</xm:f>
          </x14:formula2>
          <xm:sqref>E5:E51</xm:sqref>
        </x14:dataValidation>
        <x14:dataValidation type="list" allowBlank="1" xr:uid="{00000000-0002-0000-0300-000002000000}">
          <x14:formula1>
            <xm:f>'Datos maestros'!$A$160:$A$183</xm:f>
          </x14:formula1>
          <x14:formula2>
            <xm:f>0</xm:f>
          </x14:formula2>
          <xm:sqref>G5:G51</xm:sqref>
        </x14:dataValidation>
        <x14:dataValidation type="list" allowBlank="1" xr:uid="{00000000-0002-0000-0300-000003000000}">
          <x14:formula1>
            <xm:f>'Datos maestros'!$A$194:$A$198</xm:f>
          </x14:formula1>
          <x14:formula2>
            <xm:f>0</xm:f>
          </x14:formula2>
          <xm:sqref>K5:K51</xm:sqref>
        </x14:dataValidation>
        <x14:dataValidation type="list" allowBlank="1" xr:uid="{00000000-0002-0000-0300-000004000000}">
          <x14:formula1>
            <xm:f>'Datos maestros'!$A$137:$A$141</xm:f>
          </x14:formula1>
          <x14:formula2>
            <xm:f>0</xm:f>
          </x14:formula2>
          <xm:sqref>L5:L51</xm:sqref>
        </x14:dataValidation>
        <x14:dataValidation type="list" allowBlank="1" xr:uid="{00000000-0002-0000-0300-000005000000}">
          <x14:formula1>
            <xm:f>'Datos maestros'!$A$145:$A$148</xm:f>
          </x14:formula1>
          <x14:formula2>
            <xm:f>0</xm:f>
          </x14:formula2>
          <xm:sqref>M5:M51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showGridLines="0" zoomScaleNormal="100" workbookViewId="0"/>
  </sheetViews>
  <sheetFormatPr defaultColWidth="8.7109375" defaultRowHeight="14.45"/>
  <cols>
    <col min="1" max="1" width="22" customWidth="1"/>
    <col min="2" max="6" width="16" customWidth="1"/>
  </cols>
  <sheetData>
    <row r="1" spans="1:8" ht="25.5" customHeight="1">
      <c r="A1" s="48" t="s">
        <v>701</v>
      </c>
      <c r="B1" s="48"/>
      <c r="C1" s="48"/>
      <c r="D1" s="48"/>
      <c r="E1" s="48"/>
      <c r="F1" s="48"/>
      <c r="G1" s="48"/>
      <c r="H1" s="48"/>
    </row>
    <row r="3" spans="1:8">
      <c r="A3" s="57" t="s">
        <v>702</v>
      </c>
      <c r="B3" s="57"/>
      <c r="C3" s="57"/>
      <c r="D3" s="57"/>
      <c r="E3" s="57"/>
      <c r="F3" s="57"/>
      <c r="G3" s="57"/>
      <c r="H3" s="57"/>
    </row>
    <row r="5" spans="1:8">
      <c r="B5" s="13" t="s">
        <v>299</v>
      </c>
    </row>
    <row r="6" spans="1:8" ht="30" customHeight="1">
      <c r="A6" s="13" t="s">
        <v>300</v>
      </c>
      <c r="B6" s="14" t="s">
        <v>278</v>
      </c>
      <c r="C6" s="14" t="s">
        <v>280</v>
      </c>
      <c r="D6" s="14" t="s">
        <v>282</v>
      </c>
      <c r="E6" s="14" t="s">
        <v>284</v>
      </c>
      <c r="F6" s="14" t="s">
        <v>286</v>
      </c>
    </row>
    <row r="7" spans="1:8" ht="33.75" customHeight="1">
      <c r="A7" s="28" t="s">
        <v>290</v>
      </c>
      <c r="B7" s="29">
        <f>COUNTIFS('Matriz de riesgos'!$I$5:$I$80,"1 - Menor",'Matriz de riesgos'!$J$5:$J$80,"1 - Improbable")</f>
        <v>0</v>
      </c>
      <c r="C7" s="29">
        <f>COUNTIFS('Matriz de riesgos'!$I$5:$I$80,"2 - Significativo",'Matriz de riesgos'!$J$5:$J$80,"1 - Improbable")</f>
        <v>1</v>
      </c>
      <c r="D7" s="30">
        <f>COUNTIFS('Matriz de riesgos'!$I$5:$I$80,"3 - Serio",'Matriz de riesgos'!$J$5:$J$80,"1 - Improbable")</f>
        <v>0</v>
      </c>
      <c r="E7" s="30">
        <f>COUNTIFS('Matriz de riesgos'!$I$5:$I$80,"4 - Crítico",'Matriz de riesgos'!$J$5:$J$80,"1 - Improbable")</f>
        <v>2</v>
      </c>
      <c r="F7" s="30">
        <f>COUNTIFS('Matriz de riesgos'!$I$5:$I$80,"5 - Catastrófico",'Matriz de riesgos'!$J$5:$J$80,"1 - Improbable")</f>
        <v>0</v>
      </c>
    </row>
    <row r="8" spans="1:8" ht="33.75" customHeight="1">
      <c r="A8" s="28" t="s">
        <v>292</v>
      </c>
      <c r="B8" s="29">
        <f>COUNTIFS('Matriz de riesgos'!$I$5:$I$80,"1 - Menor",'Matriz de riesgos'!$J$5:$J$80,"2 – Bastante improbable")</f>
        <v>0</v>
      </c>
      <c r="C8" s="30">
        <f>COUNTIFS('Matriz de riesgos'!$I$5:$I$80,"2 - Significativo",'Matriz de riesgos'!$J$5:$J$80,"2 – Bastante improbable")</f>
        <v>0</v>
      </c>
      <c r="D8" s="30">
        <f>COUNTIFS('Matriz de riesgos'!$I$5:$I$80,"3 - Serio",'Matriz de riesgos'!$J$5:$J$80,"2 – Bastante improbable")</f>
        <v>7</v>
      </c>
      <c r="E8" s="31">
        <f>COUNTIFS('Matriz de riesgos'!$I$5:$I$80,"4 - Crítico",'Matriz de riesgos'!$J$5:$J$80,"2 – Bastante improbable")</f>
        <v>3</v>
      </c>
      <c r="F8" s="31">
        <f>COUNTIFS('Matriz de riesgos'!$I$5:$I$80,"5 - Catastrófico",'Matriz de riesgos'!$J$5:$J$80,"2 – Bastante improbable")</f>
        <v>1</v>
      </c>
    </row>
    <row r="9" spans="1:8" ht="33.75" customHeight="1">
      <c r="A9" s="28" t="s">
        <v>294</v>
      </c>
      <c r="B9" s="30">
        <f>COUNTIFS('Matriz de riesgos'!$I$5:$I$80,"1 - Menor",'Matriz de riesgos'!$J$5:$J$80,"3 - Probable")</f>
        <v>0</v>
      </c>
      <c r="C9" s="30">
        <f>COUNTIFS('Matriz de riesgos'!$I$5:$I$80,"2 - Significativo",'Matriz de riesgos'!$J$5:$J$80,"3 - Probable")</f>
        <v>7</v>
      </c>
      <c r="D9" s="31">
        <f>COUNTIFS('Matriz de riesgos'!$I$5:$I$80,"3 - Serio",'Matriz de riesgos'!$J$5:$J$80,"3 - Probable")</f>
        <v>13</v>
      </c>
      <c r="E9" s="32">
        <f>COUNTIFS('Matriz de riesgos'!$I$5:$I$80,"4 - Crítico",'Matriz de riesgos'!$J$5:$J$80,"3 - Probable")</f>
        <v>11</v>
      </c>
      <c r="F9" s="32">
        <f>COUNTIFS('Matriz de riesgos'!$I$5:$I$80,"5 - Catastrófico",'Matriz de riesgos'!$J$5:$J$80,"3 - Probable")</f>
        <v>0</v>
      </c>
    </row>
    <row r="10" spans="1:8" ht="33.75" customHeight="1">
      <c r="A10" s="28" t="s">
        <v>296</v>
      </c>
      <c r="B10" s="30">
        <f>COUNTIFS('Matriz de riesgos'!$I$5:$I$80,"1 - Menor",'Matriz de riesgos'!$J$5:$J$80,"4 – Muy probable")</f>
        <v>0</v>
      </c>
      <c r="C10" s="31">
        <f>COUNTIFS('Matriz de riesgos'!$I$5:$I$80,"2 - Significativo",'Matriz de riesgos'!$J$5:$J$80,"4 – Muy probable")</f>
        <v>1</v>
      </c>
      <c r="D10" s="32">
        <f>COUNTIFS('Matriz de riesgos'!$I$5:$I$80,"3 - Serio",'Matriz de riesgos'!$J$5:$J$80,"4 – Muy probable")</f>
        <v>1</v>
      </c>
      <c r="E10" s="32">
        <f>COUNTIFS('Matriz de riesgos'!$I$5:$I$80,"4 - Crítico",'Matriz de riesgos'!$J$5:$J$80,"4 – Muy probable")</f>
        <v>3</v>
      </c>
      <c r="F10" s="33">
        <f>COUNTIFS('Matriz de riesgos'!$I$5:$I$80,"5 - Catastrófico",'Matriz de riesgos'!$J$5:$J$80,"4 – Muy probable")</f>
        <v>0</v>
      </c>
    </row>
    <row r="13" spans="1:8">
      <c r="A13" s="13" t="s">
        <v>703</v>
      </c>
    </row>
    <row r="14" spans="1:8">
      <c r="A14" s="34" t="s">
        <v>27</v>
      </c>
      <c r="B14" s="35" t="s">
        <v>301</v>
      </c>
    </row>
    <row r="15" spans="1:8">
      <c r="A15" s="36" t="s">
        <v>27</v>
      </c>
      <c r="B15" s="35" t="s">
        <v>302</v>
      </c>
    </row>
    <row r="16" spans="1:8">
      <c r="A16" s="37" t="s">
        <v>27</v>
      </c>
      <c r="B16" s="35" t="s">
        <v>303</v>
      </c>
    </row>
    <row r="17" spans="1:2">
      <c r="A17" s="38" t="s">
        <v>27</v>
      </c>
      <c r="B17" s="35" t="s">
        <v>304</v>
      </c>
    </row>
    <row r="18" spans="1:2">
      <c r="A18" s="39" t="s">
        <v>27</v>
      </c>
      <c r="B18" s="35" t="s">
        <v>305</v>
      </c>
    </row>
    <row r="20" spans="1:2">
      <c r="A20" s="13" t="s">
        <v>704</v>
      </c>
    </row>
    <row r="21" spans="1:2">
      <c r="A21" s="40" t="s">
        <v>301</v>
      </c>
      <c r="B21" s="41">
        <f>COUNTIF('Matriz de riesgos'!$K$5:$K$80,"Muy bajo")</f>
        <v>1</v>
      </c>
    </row>
    <row r="22" spans="1:2">
      <c r="A22" s="42" t="s">
        <v>302</v>
      </c>
      <c r="B22" s="41">
        <f>COUNTIF('Matriz de riesgos'!$K$5:$K$80,"Bajo")</f>
        <v>16</v>
      </c>
    </row>
    <row r="23" spans="1:2">
      <c r="A23" s="43" t="s">
        <v>303</v>
      </c>
      <c r="B23" s="41">
        <f>COUNTIF('Matriz de riesgos'!$K$5:$K$80,"Medio")</f>
        <v>18</v>
      </c>
    </row>
    <row r="24" spans="1:2">
      <c r="A24" s="44" t="s">
        <v>304</v>
      </c>
      <c r="B24" s="41">
        <f>COUNTIF('Matriz de riesgos'!$K$5:$K$80,"Alto")</f>
        <v>16</v>
      </c>
    </row>
    <row r="25" spans="1:2">
      <c r="A25" s="45" t="s">
        <v>305</v>
      </c>
      <c r="B25" s="41">
        <f>COUNTIF('Matriz de riesgos'!$K$5:$K$80,"Muy alto")</f>
        <v>0</v>
      </c>
    </row>
    <row r="28" spans="1:2">
      <c r="A28" s="13" t="s">
        <v>705</v>
      </c>
    </row>
    <row r="29" spans="1:2">
      <c r="A29" s="35" t="s">
        <v>61</v>
      </c>
      <c r="B29" s="41">
        <f>COUNTIF('Matriz de riesgos'!$D$5:$D$80,"Estratégico")</f>
        <v>0</v>
      </c>
    </row>
    <row r="30" spans="1:2">
      <c r="A30" s="35" t="s">
        <v>63</v>
      </c>
      <c r="B30" s="41">
        <f>COUNTIF('Matriz de riesgos'!$D$5:$D$80,"Financiero")</f>
        <v>9</v>
      </c>
    </row>
    <row r="31" spans="1:2">
      <c r="A31" s="35" t="s">
        <v>65</v>
      </c>
      <c r="B31" s="41">
        <f>COUNTIF('Matriz de riesgos'!$D$5:$D$80,"Operativo")</f>
        <v>16</v>
      </c>
    </row>
    <row r="32" spans="1:2">
      <c r="A32" s="35" t="s">
        <v>67</v>
      </c>
      <c r="B32" s="41">
        <f>COUNTIF('Matriz de riesgos'!$D$5:$D$80,"Tecnológico")</f>
        <v>18</v>
      </c>
    </row>
    <row r="33" spans="1:2">
      <c r="A33" s="35" t="s">
        <v>69</v>
      </c>
      <c r="B33" s="41">
        <f>COUNTIF('Matriz de riesgos'!$D$5:$D$80,"Legal / Normativo")</f>
        <v>8</v>
      </c>
    </row>
    <row r="34" spans="1:2">
      <c r="A34" s="35" t="s">
        <v>71</v>
      </c>
      <c r="B34" s="41">
        <f>COUNTIF('Matriz de riesgos'!$D$5:$D$80,"Reputacional")</f>
        <v>6</v>
      </c>
    </row>
    <row r="35" spans="1:2">
      <c r="A35" s="35" t="s">
        <v>73</v>
      </c>
      <c r="B35" s="41">
        <f>COUNTIF('Matriz de riesgos'!$D$5:$D$80,"Político")</f>
        <v>0</v>
      </c>
    </row>
  </sheetData>
  <mergeCells count="2">
    <mergeCell ref="A1:H1"/>
    <mergeCell ref="A3:H3"/>
  </mergeCells>
  <pageMargins left="0.75" right="0.75" top="1" bottom="1" header="0.511811023622047" footer="0.511811023622047"/>
  <pageSetup paperSize="9" orientation="portrait" horizontalDpi="300" verticalDpi="300"/>
  <headerFooter>
    <oddHeader>&amp;R&amp;"Aptos"&amp;10&amp;K000000 Uso interno&amp;1#_x000D_</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Karim Salazar</cp:lastModifiedBy>
  <cp:revision>0</cp:revision>
  <dcterms:created xsi:type="dcterms:W3CDTF">2026-09-18T04:34:35Z</dcterms:created>
  <dcterms:modified xsi:type="dcterms:W3CDTF">2026-09-18T15:35:19Z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5174eb-66eb-49cb-b8cb-2ea983f95f24_Enabled">
    <vt:lpwstr>true</vt:lpwstr>
  </property>
  <property fmtid="{D5CDD505-2E9C-101B-9397-08002B2CF9AE}" pid="3" name="MSIP_Label_a45174eb-66eb-49cb-b8cb-2ea983f95f24_SetDate">
    <vt:lpwstr>2026-09-18T04:51:26Z</vt:lpwstr>
  </property>
  <property fmtid="{D5CDD505-2E9C-101B-9397-08002B2CF9AE}" pid="4" name="MSIP_Label_a45174eb-66eb-49cb-b8cb-2ea983f95f24_Method">
    <vt:lpwstr>Standard</vt:lpwstr>
  </property>
  <property fmtid="{D5CDD505-2E9C-101B-9397-08002B2CF9AE}" pid="5" name="MSIP_Label_a45174eb-66eb-49cb-b8cb-2ea983f95f24_Name">
    <vt:lpwstr>Interna</vt:lpwstr>
  </property>
  <property fmtid="{D5CDD505-2E9C-101B-9397-08002B2CF9AE}" pid="6" name="MSIP_Label_a45174eb-66eb-49cb-b8cb-2ea983f95f24_SiteId">
    <vt:lpwstr>12398458-05e7-471b-8555-7993154f0864</vt:lpwstr>
  </property>
  <property fmtid="{D5CDD505-2E9C-101B-9397-08002B2CF9AE}" pid="7" name="MSIP_Label_a45174eb-66eb-49cb-b8cb-2ea983f95f24_ActionId">
    <vt:lpwstr>093c3582-dc93-41cc-99ba-1a45736a96a8</vt:lpwstr>
  </property>
  <property fmtid="{D5CDD505-2E9C-101B-9397-08002B2CF9AE}" pid="8" name="MSIP_Label_a45174eb-66eb-49cb-b8cb-2ea983f95f24_ContentBits">
    <vt:lpwstr>1</vt:lpwstr>
  </property>
  <property fmtid="{D5CDD505-2E9C-101B-9397-08002B2CF9AE}" pid="9" name="MSIP_Label_a45174eb-66eb-49cb-b8cb-2ea983f95f24_Tag">
    <vt:lpwstr>10, 3, 0, 1</vt:lpwstr>
  </property>
</Properties>
</file>