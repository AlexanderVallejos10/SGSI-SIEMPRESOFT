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KarimSalazar\Desktop\"/>
    </mc:Choice>
  </mc:AlternateContent>
  <xr:revisionPtr revIDLastSave="0" documentId="13_ncr:1_{63E8AAC3-21E7-4C95-AC3B-E51B4DFBD00C}" xr6:coauthVersionLast="47" xr6:coauthVersionMax="47" xr10:uidLastSave="{00000000-0000-0000-0000-000000000000}"/>
  <bookViews>
    <workbookView xWindow="-108" yWindow="-108" windowWidth="23256" windowHeight="12456" tabRatio="446" firstSheet="2" activeTab="4" xr2:uid="{00000000-000D-0000-FFFF-FFFF00000000}"/>
  </bookViews>
  <sheets>
    <sheet name="Guía y metodología" sheetId="1" r:id="rId1"/>
    <sheet name="Datos maestros" sheetId="2" r:id="rId2"/>
    <sheet name="Matriz de riesgos" sheetId="3" r:id="rId3"/>
    <sheet name="Mapa de calor" sheetId="5" r:id="rId4"/>
    <sheet name="Tratamiento de riesgos" sheetId="4" r:id="rId5"/>
  </sheets>
  <definedNames>
    <definedName name="_xlnm._FilterDatabase" localSheetId="1" hidden="1">'Datos maestros'!$A$48:$E$114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5" i="4" l="1"/>
  <c r="D6" i="4"/>
  <c r="C19" i="4"/>
  <c r="D45" i="4"/>
  <c r="D44" i="4"/>
  <c r="D43" i="4"/>
  <c r="D42" i="4"/>
  <c r="D41" i="4"/>
  <c r="D40" i="4"/>
  <c r="D39" i="4"/>
  <c r="D38" i="4"/>
  <c r="D37" i="4"/>
  <c r="D36" i="4"/>
  <c r="D35" i="4"/>
  <c r="D34" i="4"/>
  <c r="D33" i="4"/>
  <c r="D32" i="4"/>
  <c r="D31" i="4"/>
  <c r="D30" i="4"/>
  <c r="D29" i="4"/>
  <c r="D28" i="4"/>
  <c r="D27" i="4"/>
  <c r="D26" i="4"/>
  <c r="D25" i="4"/>
  <c r="D24" i="4"/>
  <c r="D23" i="4"/>
  <c r="D22" i="4"/>
  <c r="D11" i="4"/>
  <c r="D10" i="4"/>
  <c r="D9" i="4"/>
  <c r="D8" i="4"/>
  <c r="D7" i="4"/>
  <c r="R16" i="3" l="1"/>
  <c r="O16" i="3"/>
  <c r="D21" i="4" s="1"/>
  <c r="B35" i="5" l="1"/>
  <c r="B34" i="5"/>
  <c r="B33" i="5"/>
  <c r="B32" i="5"/>
  <c r="B31" i="5"/>
  <c r="B30" i="5"/>
  <c r="B29" i="5"/>
  <c r="F10" i="5"/>
  <c r="E10" i="5"/>
  <c r="D10" i="5"/>
  <c r="C10" i="5"/>
  <c r="B10" i="5"/>
  <c r="F9" i="5"/>
  <c r="E9" i="5"/>
  <c r="D9" i="5"/>
  <c r="C9" i="5"/>
  <c r="B9" i="5"/>
  <c r="F8" i="5"/>
  <c r="E8" i="5"/>
  <c r="D8" i="5"/>
  <c r="C8" i="5"/>
  <c r="B8" i="5"/>
  <c r="F7" i="5"/>
  <c r="E7" i="5"/>
  <c r="D7" i="5"/>
  <c r="C7" i="5"/>
  <c r="B7" i="5"/>
  <c r="N45" i="4"/>
  <c r="A45" i="4"/>
  <c r="N44" i="4"/>
  <c r="A44" i="4"/>
  <c r="N43" i="4"/>
  <c r="A43" i="4"/>
  <c r="N42" i="4"/>
  <c r="A42" i="4"/>
  <c r="N41" i="4"/>
  <c r="A41" i="4"/>
  <c r="N40" i="4"/>
  <c r="A40" i="4"/>
  <c r="N39" i="4"/>
  <c r="A39" i="4"/>
  <c r="N38" i="4"/>
  <c r="A38" i="4"/>
  <c r="N37" i="4"/>
  <c r="A37" i="4"/>
  <c r="N36" i="4"/>
  <c r="A36" i="4"/>
  <c r="N35" i="4"/>
  <c r="A35" i="4"/>
  <c r="N34" i="4"/>
  <c r="A34" i="4"/>
  <c r="N33" i="4"/>
  <c r="A33" i="4"/>
  <c r="N32" i="4"/>
  <c r="A32" i="4"/>
  <c r="N31" i="4"/>
  <c r="A31" i="4"/>
  <c r="N30" i="4"/>
  <c r="A30" i="4"/>
  <c r="N29" i="4"/>
  <c r="A29" i="4"/>
  <c r="N28" i="4"/>
  <c r="A28" i="4"/>
  <c r="N27" i="4"/>
  <c r="A27" i="4"/>
  <c r="N26" i="4"/>
  <c r="A26" i="4"/>
  <c r="N25" i="4"/>
  <c r="A25" i="4"/>
  <c r="N24" i="4"/>
  <c r="A24" i="4"/>
  <c r="N23" i="4"/>
  <c r="A23" i="4"/>
  <c r="N22" i="4"/>
  <c r="A22" i="4"/>
  <c r="N21" i="4"/>
  <c r="N20" i="4"/>
  <c r="N19" i="4"/>
  <c r="N18" i="4"/>
  <c r="A18" i="4"/>
  <c r="N17" i="4"/>
  <c r="A17" i="4"/>
  <c r="N16" i="4"/>
  <c r="N15" i="4"/>
  <c r="C15" i="4"/>
  <c r="N14" i="4"/>
  <c r="C14" i="4"/>
  <c r="N13" i="4"/>
  <c r="C13" i="4"/>
  <c r="N12" i="4"/>
  <c r="C12" i="4"/>
  <c r="N11" i="4"/>
  <c r="C11" i="4"/>
  <c r="N10" i="4"/>
  <c r="C10" i="4"/>
  <c r="N9" i="4"/>
  <c r="C9" i="4"/>
  <c r="N8" i="4"/>
  <c r="C8" i="4"/>
  <c r="N7" i="4"/>
  <c r="C7" i="4"/>
  <c r="N6" i="4"/>
  <c r="C6" i="4"/>
  <c r="N5" i="4"/>
  <c r="C5" i="4"/>
  <c r="O35" i="3"/>
  <c r="O34" i="3"/>
  <c r="O33" i="3"/>
  <c r="O32" i="3"/>
  <c r="O31" i="3"/>
  <c r="O30" i="3"/>
  <c r="O29" i="3"/>
  <c r="O28" i="3"/>
  <c r="O27" i="3"/>
  <c r="O26" i="3"/>
  <c r="O25" i="3"/>
  <c r="O23" i="3"/>
  <c r="O22" i="3"/>
  <c r="O21" i="3"/>
  <c r="O20" i="3"/>
  <c r="O19" i="3"/>
  <c r="O18" i="3"/>
  <c r="S17" i="3"/>
  <c r="O17" i="3"/>
  <c r="R17" i="3"/>
  <c r="S16" i="3"/>
  <c r="S15" i="3"/>
  <c r="R15" i="3"/>
  <c r="O15" i="3"/>
  <c r="S14" i="3"/>
  <c r="R14" i="3"/>
  <c r="O14" i="3"/>
  <c r="D20" i="4" s="1"/>
  <c r="S13" i="3"/>
  <c r="R13" i="3"/>
  <c r="O13" i="3"/>
  <c r="D19" i="4" s="1"/>
  <c r="S12" i="3"/>
  <c r="R12" i="3"/>
  <c r="O12" i="3"/>
  <c r="D18" i="4" s="1"/>
  <c r="S11" i="3"/>
  <c r="R11" i="3"/>
  <c r="O11" i="3"/>
  <c r="D17" i="4" s="1"/>
  <c r="S10" i="3"/>
  <c r="R10" i="3"/>
  <c r="O10" i="3"/>
  <c r="D16" i="4" s="1"/>
  <c r="S9" i="3"/>
  <c r="R9" i="3"/>
  <c r="O9" i="3"/>
  <c r="D15" i="4" s="1"/>
  <c r="S8" i="3"/>
  <c r="R8" i="3"/>
  <c r="O8" i="3"/>
  <c r="D14" i="4" s="1"/>
  <c r="S7" i="3"/>
  <c r="R7" i="3"/>
  <c r="O7" i="3"/>
  <c r="D13" i="4" s="1"/>
  <c r="S6" i="3"/>
  <c r="R6" i="3"/>
  <c r="O6" i="3"/>
  <c r="S5" i="3"/>
  <c r="R5" i="3"/>
  <c r="O5" i="3"/>
  <c r="D12" i="4" s="1"/>
  <c r="B25" i="5" l="1"/>
  <c r="C18" i="4"/>
  <c r="C22" i="4"/>
  <c r="C26" i="4"/>
  <c r="C30" i="4"/>
  <c r="C34" i="4"/>
  <c r="C38" i="4"/>
  <c r="C42" i="4"/>
  <c r="B21" i="5"/>
  <c r="C23" i="4"/>
  <c r="C27" i="4"/>
  <c r="C31" i="4"/>
  <c r="C35" i="4"/>
  <c r="C39" i="4"/>
  <c r="C43" i="4"/>
  <c r="B22" i="5"/>
  <c r="B23" i="5"/>
  <c r="B24" i="5"/>
  <c r="C16" i="4"/>
  <c r="C20" i="4"/>
  <c r="C24" i="4"/>
  <c r="C28" i="4"/>
  <c r="C32" i="4"/>
  <c r="C36" i="4"/>
  <c r="C40" i="4"/>
  <c r="C44" i="4"/>
  <c r="C17" i="4"/>
  <c r="C21" i="4"/>
  <c r="C25" i="4"/>
  <c r="C29" i="4"/>
  <c r="C33" i="4"/>
  <c r="C37" i="4"/>
  <c r="C41" i="4"/>
  <c r="C45" i="4"/>
</calcChain>
</file>

<file path=xl/sharedStrings.xml><?xml version="1.0" encoding="utf-8"?>
<sst xmlns="http://schemas.openxmlformats.org/spreadsheetml/2006/main" count="957" uniqueCount="584">
  <si>
    <t>Matriz de Identificación y Valoración de Riesgos</t>
  </si>
  <si>
    <t>SiempreSoft · Enfoque basado en eventos (ISO/IEC 27005:2022, Anexo A)</t>
  </si>
  <si>
    <t>1. Dos ejes de clasificación: Origen vs. Categoría</t>
  </si>
  <si>
    <t>"Origen del riesgo" (Deliberado / Accidental-humano / Accidental-técnico / Ambiental) responde a QUIÉN o QUÉ dispara la amenaza — es la taxonomía de fuente de riesgo del Anexo A/B de ISO/IEC 27005:2022, que solo reconoce 3 orígenes (D/A/E, igual que tu hoja "Amenazas"): una falla técnica no es intencional ni ambiental, así que cae dentro de "Accidental" — aquí se subdivide en humano/técnico solo como ayuda operativa para saber qué tipo de control aplicar. "Categoría de riesgo" (Estratégico, Financiero, Operativo, Tecnológico, Legal/Normativo, Reputacional, Político) responde a EN QUÉ ÁMBITO DE NEGOCIO impacta — es la clasificación que usan COSO ERM / ISO 31000 para reportar a la dirección. Son ejes independientes: un mismo riesgo puede ser Origen=Deliberado + Categoría=Financiero (un estafador que busca beneficio económico), u Origen=Accidental-técnico + Categoría=Tecnológico (falla de Azure). Se agregó una columna nueva para cada eje en la hoja "Matriz de riesgos".</t>
  </si>
  <si>
    <t>2. Catálogo de fuentes/amenazas por origen</t>
  </si>
  <si>
    <t>Las 8 categorías de fuente de riesgo deliberada (Relacionado a estados, Crimen organizado, Terrorista, Activista ideológico, Cibermercenario, Aficionado, Vengador, Agresor patológico) son el catálogo FIJO del Anexo A de ISO/IEC 27005:2022 — no es un límite que se haya impuesto, es la lista textual del estándar. Para los orígenes Accidental, Ambiental y Técnico existe otro catálogo, el de tipos de amenaza (Anexo B), que ya tenías cargado en tu hoja "Amenazas" con 72 entradas agrupadas en 7 tipos (física, eventos naturales, falla de infraestructura, fallas técnicas, acciones humanas, compromiso de funciones, amenazas organizacionales). En "Datos maestros" se agregó una tabla resumen de esos 7 tipos con ejemplos, que remite a tu catálogo completo para el detalle.</t>
  </si>
  <si>
    <t>3. Matriz de nivel de riesgo (se mantiene 5×4)</t>
  </si>
  <si>
    <t>Se decidió mantener la matriz tal como la tienes (Consecuencia 5 niveles × Probabilidad 4 niveles), ya que la usan en otros documentos del SGSI. Nota para consistencia futura: si en algún momento migran a una matriz simétrica (5×5) o a un puntaje semicuantitativo, solo hay que actualizar la tabla H de "Datos maestros" — la fórmula de Nivel de riesgo en la matriz ya está preparada para leer de ahí sin tocar cada fila.</t>
  </si>
  <si>
    <t>4. Qué cambia respecto a tu archivo original</t>
  </si>
  <si>
    <t>●  Fuente de riesgo vs. causa técnica</t>
  </si>
  <si>
    <t>En tu archivo, "Fuente de riesgo" mezclaba el agente (ej. "Organización criminal") con la causa técnica (ej. "Ausencia de pruebas en staging"). Se separó en "Origen del riesgo" (clasificado automáticamente, en cursiva gris — valídalo) y "Fuente de riesgo (causa u origen específico)" con tu texto original.</t>
  </si>
  <si>
    <t>●  DES solo aplica a orígenes deliberados</t>
  </si>
  <si>
    <t>El "Estado final deseado" (motivación) solo tiene sentido cuando hay un actor con intención. Para orígenes accidentales/ambientales/técnicos no hay "motivación" real — documenta ahí la causa raíz.</t>
  </si>
  <si>
    <t>●  Nivel de riesgo por fórmula, no texto fijo</t>
  </si>
  <si>
    <t>Se calcula con INDEX/MATCH contra la matriz de "Datos maestros". Esto detectó un dato inconsistente en tu fila R51: consecuencia "4 - Serio" (en tu escala, 4 es "Crítico") y probabilidad "4 - Probable" (debería ser "4 – Muy probable") — revísalo.</t>
  </si>
  <si>
    <t>●  16 registros incompletos</t>
  </si>
  <si>
    <t>R41–R51 sin DES ni, en varios casos, controles; R52–R56 (tus filas nuevas) sin proceso ni evaluación. Se trasladaron con las celdas pendientes resaltadas en amarillo — no se inventó ninguna valoración.</t>
  </si>
  <si>
    <t>5. Estructura del archivo</t>
  </si>
  <si>
    <t>Guía y metodología</t>
  </si>
  <si>
    <t>Esta hoja.</t>
  </si>
  <si>
    <t>Datos maestros</t>
  </si>
  <si>
    <t>Listas desplegables: procesos, origen del riesgo, categoría de riesgo, categorías de fuente deliberada (Anexo A), tipos de amenaza por origen A/E/T (Anexo B), motivaciones/DES, objetivos meta, escalas de consecuencia y probabilidad con criterios, matriz 5×4, propietarios, tratamiento y estados.</t>
  </si>
  <si>
    <t>Matriz de riesgos</t>
  </si>
  <si>
    <t>Identificación y valoración de los 56 riesgos existentes reorganizados + 20 filas en blanco. Nivel de riesgo y estado de completitud son fórmulas automáticas.</t>
  </si>
  <si>
    <t>Mapa de calor</t>
  </si>
  <si>
    <t>Conteo automático de riesgos por celda de la matriz 5×4, coloreado como heat map.</t>
  </si>
  <si>
    <t>6. Leyenda de colores</t>
  </si>
  <si>
    <t xml:space="preserve">   </t>
  </si>
  <si>
    <t>Celda pendiente de completar (dato que falta en tu archivo original o fila nueva).</t>
  </si>
  <si>
    <t>Celda calculada por fórmula — no editar a mano.</t>
  </si>
  <si>
    <t>Cursiva gris</t>
  </si>
  <si>
    <t>Origen o categoría sugeridos automáticamente a partir del texto original — valídalos.</t>
  </si>
  <si>
    <t>7. Subsanación Obs.2 de auditoría (6.1.3 — pestaña de tratamiento separada y vinculada)</t>
  </si>
  <si>
    <t>El auditor observó que el tratamiento de riesgos debía ir en una pestaña propia, separada de la identificación/análisis/evaluación, y vinculada a ella. Se creó la hoja "Tratamiento de riesgos": cada fila referencia un ID de la "Matriz de riesgos" mediante un desplegable (no texto libre), y el Proceso y el Nivel de riesgo se traen automáticamente con VLOOKUP — si cambias la evaluación de un riesgo, su tratamiento se actualiza solo. En la "Matriz de riesgos" se retiraron las columnas de tratamiento (Opción, Estado, Observaciones) y se dejó una sola columna "¿Tiene tratamiento asignado?" que verifica contra la hoja nueva — se resalta en rojo cuando un riesgo Alto o Muy alto no tiene tratamiento registrado, para que puedas priorizar antes de la próxima auditoría. Se importaron los 16 tratamientos que ya tenías documentados (R06, R16, R23, R28, R29, R35, R39, R40, R42–R46, R48–R50); los de "Riesgos de Proyectos" (PY0x) no aplican a esta matriz y siguen en tu hoja original.</t>
  </si>
  <si>
    <t>DATOS MAESTROS · listas desplegables y escalas de la matriz de riesgos</t>
  </si>
  <si>
    <t>A. Procesos</t>
  </si>
  <si>
    <t>Proceso</t>
  </si>
  <si>
    <t>Validación de comprobantes OSE</t>
  </si>
  <si>
    <t>B. Origen del riesgo (¿quién/qué lo origina? — Anexo A ISO/IEC 27005:2022)</t>
  </si>
  <si>
    <t>Origen</t>
  </si>
  <si>
    <t>Descripción</t>
  </si>
  <si>
    <t>Deliberado (humano intencional)</t>
  </si>
  <si>
    <t>Actor con intención consciente de causar daño u obtener beneficio (ciberdelincuentes, competidores, clientes hostiles, personal con intención maliciosa). Aquí sí aplica el DES / motivación.</t>
  </si>
  <si>
    <t>Accidental - humano (error no intencional)</t>
  </si>
  <si>
    <t>Subtipo de "Accidental" (código A del Anexo B). Error humano, falta de capacitación, procesos manuales, negligencia sin intención de dañar.</t>
  </si>
  <si>
    <t>Accidental - técnico (falla de sistema/infraestructura)</t>
  </si>
  <si>
    <t>Ambiental</t>
  </si>
  <si>
    <t>Fenómenos naturales o climáticos: lluvias, inundaciones, sismos, descargas eléctricas. Código E del Anexo B.</t>
  </si>
  <si>
    <t>C. Categoría de riesgo (¿en qué ámbito de negocio impacta? — estilo COSO ERM / ISO 31000)</t>
  </si>
  <si>
    <t>Categoría</t>
  </si>
  <si>
    <t>Estratégico</t>
  </si>
  <si>
    <t>Afecta objetivos de negocio, crecimiento, mercado o modelo de negocio a mediano/largo plazo.</t>
  </si>
  <si>
    <t>Financiero</t>
  </si>
  <si>
    <t>Pérdida económica directa, costos, flujo de caja, cobranza, crédito, fraude con impacto monetario.</t>
  </si>
  <si>
    <t>Operativo</t>
  </si>
  <si>
    <t>Afecta la ejecución diaria de procesos: producción, soporte, calidad, capacidad, continuidad.</t>
  </si>
  <si>
    <t>Tecnológico</t>
  </si>
  <si>
    <t>Fallas o debilidades de sistemas, infraestructura, software, datos, ciberseguridad.</t>
  </si>
  <si>
    <t>Legal / Normativo</t>
  </si>
  <si>
    <t>Incumplimiento normativo, multas, sanciones, pérdida de autorización (SUNAT, PSE, OSE).</t>
  </si>
  <si>
    <t>Reputacional</t>
  </si>
  <si>
    <t>Daño a la imagen, confianza del cliente, quejas públicas, pérdida de credibilidad.</t>
  </si>
  <si>
    <t>Político</t>
  </si>
  <si>
    <t>Cambios regulatorios de origen gubernamental, relaciones con entidades públicas, entorno político/país.</t>
  </si>
  <si>
    <t>D. Categorías de fuente de riesgo DELIBERADA (catálogo fijo, Anexo A ISO/IEC 27005:2022)</t>
  </si>
  <si>
    <t>Categoría de fuente</t>
  </si>
  <si>
    <t>Actores típicos</t>
  </si>
  <si>
    <t>Método de ataque típico</t>
  </si>
  <si>
    <t>Relacionado a estados</t>
  </si>
  <si>
    <t>Estados, agencias de inteligencia</t>
  </si>
  <si>
    <t>Ataques dirigidos, profesionales, calendario predefinido (cadena de suministro).</t>
  </si>
  <si>
    <t>Crimen organizado</t>
  </si>
  <si>
    <t>Mafias, pandillas, organizaciones cibercriminales</t>
  </si>
  <si>
    <t>Estafas, ransomware, botnets, con fines lucrativos.</t>
  </si>
  <si>
    <t>Terrorista</t>
  </si>
  <si>
    <t>Ciber-terroristas, ciber-milicias</t>
  </si>
  <si>
    <t>Ataques poco sofisticados pero destructivos: denegación de servicio.</t>
  </si>
  <si>
    <t>Activista ideológico</t>
  </si>
  <si>
    <t>Ciber-hacktivistas, grupos de interés</t>
  </si>
  <si>
    <t>Similar al terrorista pero con intención menos destructiva (transmite una ideología).</t>
  </si>
  <si>
    <t>Cibermercenario</t>
  </si>
  <si>
    <t>Hackers especializados que crean kits/herramientas</t>
  </si>
  <si>
    <t>Diseño y venta de kits de ataque disponibles en línea.</t>
  </si>
  <si>
    <t>Aficionado</t>
  </si>
  <si>
    <t>Script-kiddies con buenos conocimientos informáticos</t>
  </si>
  <si>
    <t>Ataques básicos usando kits de ataque disponibles en línea.</t>
  </si>
  <si>
    <t>Vengador</t>
  </si>
  <si>
    <t>Ex-empleado, proveedor descontento</t>
  </si>
  <si>
    <t>Determinación y conocimiento interno de sistemas y procesos.</t>
  </si>
  <si>
    <t>Agresor patológico</t>
  </si>
  <si>
    <t>Competidor desleal, cliente deshonesto, estafador</t>
  </si>
  <si>
    <t>Base de conocimiento informático o subcontratación del ataque.</t>
  </si>
  <si>
    <t>E. Catálogo de amenazas para orígenes Accidental / Ambiental / Técnico (Anexo B ISO/IEC 27005:2022, tomado íntegro de tu hoja "Amenazas")</t>
  </si>
  <si>
    <t>A diferencia de "Deliberado" (que sí tiene su propio catálogo de actores en la tabla D, porque hay una intención humana caracterizable), el estándar NO define categorías de "fuente" separadas para Accidental/Ambiental/Técnico. En su lugar usa un catálogo único de amenazas (Anexo B), diferenciado por la columna Origen (D=deliberada, A=accidental, E=ambiental) — porque una misma amenaza puede tener más de un origen (ej. "Fuego" puede ser accidental, deliberado o ambiental a la vez). "Técnico" no es un código del estándar: es una subdivisión práctica que agregamos marcando en la columna ¿Técnico? las filas de los tipos "Fallas técnicas" y "Falla de infraestructura". Usa el autofiltro de Excel en esta tabla para quedarte solo con las filas que te interesan.</t>
  </si>
  <si>
    <t>Código</t>
  </si>
  <si>
    <t>Amenaza</t>
  </si>
  <si>
    <t>Tipo</t>
  </si>
  <si>
    <t>Origen (D/A/E)</t>
  </si>
  <si>
    <t>¿Técnico?</t>
  </si>
  <si>
    <t>TP01</t>
  </si>
  <si>
    <t>Fuego</t>
  </si>
  <si>
    <t>Amenaza física</t>
  </si>
  <si>
    <t>A, D, E</t>
  </si>
  <si>
    <t>TP02</t>
  </si>
  <si>
    <t>Agua</t>
  </si>
  <si>
    <t>TP03</t>
  </si>
  <si>
    <t>Contaminación, Radiación nociva</t>
  </si>
  <si>
    <t>TP04</t>
  </si>
  <si>
    <t>Accidente grave</t>
  </si>
  <si>
    <t>TP05</t>
  </si>
  <si>
    <t>Explosión</t>
  </si>
  <si>
    <t>TP06</t>
  </si>
  <si>
    <t xml:space="preserve">Polvo, corrosión, congelamiento </t>
  </si>
  <si>
    <t>TN01</t>
  </si>
  <si>
    <t>Fenómeno climático</t>
  </si>
  <si>
    <t>Eventos naturales</t>
  </si>
  <si>
    <t>E</t>
  </si>
  <si>
    <t>TN02</t>
  </si>
  <si>
    <t>Fenómenos sísmicos</t>
  </si>
  <si>
    <t>TN03</t>
  </si>
  <si>
    <t>Fenómeno volcánico</t>
  </si>
  <si>
    <t>TN04</t>
  </si>
  <si>
    <t xml:space="preserve">Fenómeno meteorológico </t>
  </si>
  <si>
    <t>TN05</t>
  </si>
  <si>
    <t>Inundación</t>
  </si>
  <si>
    <t>TN06</t>
  </si>
  <si>
    <t>Fenómeno pandémico/epidémico</t>
  </si>
  <si>
    <t>TI01</t>
  </si>
  <si>
    <t>Falla de un sistema de suministro</t>
  </si>
  <si>
    <t>Falla de infraestructura</t>
  </si>
  <si>
    <t>A, D</t>
  </si>
  <si>
    <t>Sí</t>
  </si>
  <si>
    <t>TI02</t>
  </si>
  <si>
    <t>Falla de sistemas de ventilación o enfriamiento</t>
  </si>
  <si>
    <t>TI03</t>
  </si>
  <si>
    <t xml:space="preserve">Pérdida de suministro de energía </t>
  </si>
  <si>
    <t>TI04</t>
  </si>
  <si>
    <t xml:space="preserve">Falla de una red de telecomunicaciones </t>
  </si>
  <si>
    <t>TI05</t>
  </si>
  <si>
    <t xml:space="preserve">Falla de equipamiento de telecomunicaciones </t>
  </si>
  <si>
    <t>TI06</t>
  </si>
  <si>
    <t>Radiación electromagnética</t>
  </si>
  <si>
    <t>TI07</t>
  </si>
  <si>
    <t xml:space="preserve">Radiación térmica </t>
  </si>
  <si>
    <t>TI08</t>
  </si>
  <si>
    <t xml:space="preserve">Pulsos electromagnéticos </t>
  </si>
  <si>
    <t>TT01</t>
  </si>
  <si>
    <t>Falla de un dispositivo o sistema</t>
  </si>
  <si>
    <t>Fallas técnicas</t>
  </si>
  <si>
    <t>A</t>
  </si>
  <si>
    <t>TT02</t>
  </si>
  <si>
    <t>Saturación del sistema de información</t>
  </si>
  <si>
    <t>TT03</t>
  </si>
  <si>
    <t>Violación de la capacidad de mantenimiento del sistema de información</t>
  </si>
  <si>
    <t>TH01</t>
  </si>
  <si>
    <t>Terror, ataque, sabotaje</t>
  </si>
  <si>
    <t>Acciones humanas</t>
  </si>
  <si>
    <t>D</t>
  </si>
  <si>
    <t>TH02</t>
  </si>
  <si>
    <t>Ingeniería social</t>
  </si>
  <si>
    <t>TH03</t>
  </si>
  <si>
    <t>La interceptación de la radiación de un dispositivo</t>
  </si>
  <si>
    <t>TH04</t>
  </si>
  <si>
    <t xml:space="preserve">Espionaje remoto </t>
  </si>
  <si>
    <t>TH05</t>
  </si>
  <si>
    <t>Escuchar a escondidas</t>
  </si>
  <si>
    <t>TH06</t>
  </si>
  <si>
    <t>Robo de medios o documentos (incluye robo en cuenta bancaria)</t>
  </si>
  <si>
    <t>TH07</t>
  </si>
  <si>
    <t xml:space="preserve">Robo de equipos </t>
  </si>
  <si>
    <t>TH08</t>
  </si>
  <si>
    <t>Robo de identidad digital o credenciales</t>
  </si>
  <si>
    <t>TH09</t>
  </si>
  <si>
    <t>Recuperación de medios reciclados o desechados</t>
  </si>
  <si>
    <t>TH10</t>
  </si>
  <si>
    <t>Revelación de información</t>
  </si>
  <si>
    <t>TH11</t>
  </si>
  <si>
    <t>Entrada de datos de fuentes no confiables</t>
  </si>
  <si>
    <t>TH12</t>
  </si>
  <si>
    <t xml:space="preserve">Manipulación (tampering) con hardware </t>
  </si>
  <si>
    <t>TH13</t>
  </si>
  <si>
    <t xml:space="preserve">Manipulación (tampering) con software </t>
  </si>
  <si>
    <t>TH14</t>
  </si>
  <si>
    <t>Drive-by-exploits usando comunicación basada en web</t>
  </si>
  <si>
    <t>TH15</t>
  </si>
  <si>
    <t>Ataque de repetición, ataque man-in-the-middle</t>
  </si>
  <si>
    <t>TH16</t>
  </si>
  <si>
    <t>Tratamiento no autorizado de datos personales</t>
  </si>
  <si>
    <t>TH17</t>
  </si>
  <si>
    <t>Entrada no autorizada a las instalaciones</t>
  </si>
  <si>
    <t>TH18</t>
  </si>
  <si>
    <t>Uso no autorizado de equipos/servidores/aplicaciones</t>
  </si>
  <si>
    <t>TH19</t>
  </si>
  <si>
    <t>Uso incorrecto de dispositivos</t>
  </si>
  <si>
    <t>TH20</t>
  </si>
  <si>
    <t>Dañar dispositivos o medios</t>
  </si>
  <si>
    <t>TH21</t>
  </si>
  <si>
    <t>Copia fraudulenta de software y/o proyecto</t>
  </si>
  <si>
    <t>TH22</t>
  </si>
  <si>
    <t xml:space="preserve">Uso de software falsificado o copiado </t>
  </si>
  <si>
    <t>TH23</t>
  </si>
  <si>
    <t xml:space="preserve">Corrupción de datos </t>
  </si>
  <si>
    <t>TH24</t>
  </si>
  <si>
    <t xml:space="preserve">Procesamiento ilegal de datos </t>
  </si>
  <si>
    <t>TH25</t>
  </si>
  <si>
    <t>Envío o distribución de malware</t>
  </si>
  <si>
    <t>TH26</t>
  </si>
  <si>
    <t xml:space="preserve">Detección de posición </t>
  </si>
  <si>
    <t>TC01</t>
  </si>
  <si>
    <t xml:space="preserve">Error en uso </t>
  </si>
  <si>
    <t>Compromiso de funciones</t>
  </si>
  <si>
    <t>TC02</t>
  </si>
  <si>
    <t>Abuso de derechos o permisos</t>
  </si>
  <si>
    <t>TC03</t>
  </si>
  <si>
    <t>Falsificación de derechos o permisos</t>
  </si>
  <si>
    <t>TC04</t>
  </si>
  <si>
    <t xml:space="preserve">Negación de acciones </t>
  </si>
  <si>
    <t>TO01</t>
  </si>
  <si>
    <t>Falta de personal</t>
  </si>
  <si>
    <t>Amenazas organizacionales</t>
  </si>
  <si>
    <t>A, E</t>
  </si>
  <si>
    <t>TO02</t>
  </si>
  <si>
    <t>Falta de recursos</t>
  </si>
  <si>
    <t>TO03</t>
  </si>
  <si>
    <t>Incumplimiento de los proveedores de servicios</t>
  </si>
  <si>
    <t>TO04</t>
  </si>
  <si>
    <t>Violación de leyes o reglamentos</t>
  </si>
  <si>
    <t xml:space="preserve">Mal funcionamiento de equipo </t>
  </si>
  <si>
    <t>Fallas en el momento del despliegue</t>
  </si>
  <si>
    <t>Interrupción en el servicio</t>
  </si>
  <si>
    <t>Error en la generación de las copias de seguridad (backup completo, carpetas onedrive, archivos del contenedor)</t>
  </si>
  <si>
    <t>Perder autorización como PSE y OSE</t>
  </si>
  <si>
    <t>Lentitud o inestabilidad en la operación del ERP</t>
  </si>
  <si>
    <t>Solicitides bloquedas por el firewall de aplicaciones</t>
  </si>
  <si>
    <t>Multas/Sanciones</t>
  </si>
  <si>
    <t>F. Motivación / Estado final deseado (DES) — solo para origen deliberado</t>
  </si>
  <si>
    <t>Motivación</t>
  </si>
  <si>
    <t>Conquistar</t>
  </si>
  <si>
    <t>Captura a largo plazo de recursos o mercados económicos, ganar poder político o imponer valores.</t>
  </si>
  <si>
    <t>Adquirir</t>
  </si>
  <si>
    <t>Enfoque depredador, ofensivo, impulsado por la captura de recursos o beneficios.</t>
  </si>
  <si>
    <t>Prevenir</t>
  </si>
  <si>
    <t>Enfoque ofensivo para limitar las acciones de un tercero.</t>
  </si>
  <si>
    <t>Mantener</t>
  </si>
  <si>
    <t>Esfuerzos para mantener una situación ideológica, política, económica o social.</t>
  </si>
  <si>
    <t>Defender</t>
  </si>
  <si>
    <t>Postura defensiva o amenazante para evitar el comportamiento agresivo de un oponente.</t>
  </si>
  <si>
    <t>Sobrevivir</t>
  </si>
  <si>
    <t>Proteger una entidad a toda costa, lo que puede llevar a acciones extremadamente agresivas.</t>
  </si>
  <si>
    <t>G. Objetivo meta del actor (referencia)</t>
  </si>
  <si>
    <t>Objetivo</t>
  </si>
  <si>
    <t>Espionaje</t>
  </si>
  <si>
    <t>Operación de inteligencia (estatal, económica).</t>
  </si>
  <si>
    <t>Pre-posicionamiento estratégico</t>
  </si>
  <si>
    <t>Ataque a largo plazo sin objetivo final claramente establecido.</t>
  </si>
  <si>
    <t>Influencia</t>
  </si>
  <si>
    <t>Difundir información falsa, destruir reputaciones, revelar información confidencial.</t>
  </si>
  <si>
    <t>Obstáculo para el funcionamiento</t>
  </si>
  <si>
    <t>Sabotaje: indisponibilidad de un sitio, recurso digital o instalación física.</t>
  </si>
  <si>
    <t>Lucrativo</t>
  </si>
  <si>
    <t>Obtener un beneficio económico, directo o indirecto.</t>
  </si>
  <si>
    <t>Desafío, diversión</t>
  </si>
  <si>
    <t>Cumplir una hazaña con fines de reconocimiento social o diversión.</t>
  </si>
  <si>
    <t>Nivel</t>
  </si>
  <si>
    <t>Criterio orientativo (impacto operativo / económico / legal / reputacional)</t>
  </si>
  <si>
    <t>1 - Menor</t>
  </si>
  <si>
    <t>Impacto mínimo, sin afectación perceptible al cliente ni a la operación; sin costo relevante.</t>
  </si>
  <si>
    <t>2 - Significativo</t>
  </si>
  <si>
    <t>Afecta a un proceso puntual o pocos clientes; se resuelve con recursos internos habituales; costo bajo.</t>
  </si>
  <si>
    <t>3 - Serio</t>
  </si>
  <si>
    <t>Afecta la operación de un proceso o a varios clientes; requiere intervención priorizada; costo moderado; posible reclamo formal.</t>
  </si>
  <si>
    <t>4 - Crítico</t>
  </si>
  <si>
    <t>Interrumpe un proceso crítico (PSE/OSE) o la relación con clientes/reguladores; pérdida económica relevante; posible sanción o incumplimiento normativo.</t>
  </si>
  <si>
    <t>5 - Catastrófico</t>
  </si>
  <si>
    <t>Pone en riesgo la continuidad del negocio, la relación con SUNAT/reguladores o la viabilidad legal de la empresa; pérdida económica mayor o irreversible.</t>
  </si>
  <si>
    <t>Criterio orientativo (frecuencia esperada)</t>
  </si>
  <si>
    <t>1 - Improbable</t>
  </si>
  <si>
    <t>Podría ocurrir solo en circunstancias excepcionales (referencia: una vez cada 3 años o más).</t>
  </si>
  <si>
    <t>2 – Bastante improbable</t>
  </si>
  <si>
    <t>Podría ocurrir en algún momento (referencia: una vez cada 1-3 años).</t>
  </si>
  <si>
    <t>3 - Probable</t>
  </si>
  <si>
    <t>Se espera que ocurra en algún momento (referencia: una o varias veces al año).</t>
  </si>
  <si>
    <t>4 – Muy probable</t>
  </si>
  <si>
    <t>Se espera que ocurra en la mayoría de las circunstancias (referencia: mensual o más frecuente).</t>
  </si>
  <si>
    <t>Consecuencia →</t>
  </si>
  <si>
    <t>Probabilidad ↓</t>
  </si>
  <si>
    <t>Muy bajo</t>
  </si>
  <si>
    <t>Bajo</t>
  </si>
  <si>
    <t>Medio</t>
  </si>
  <si>
    <t>Alto</t>
  </si>
  <si>
    <t>Muy alto</t>
  </si>
  <si>
    <t>Rol</t>
  </si>
  <si>
    <t>Gerente general</t>
  </si>
  <si>
    <t>Jefe de Producción</t>
  </si>
  <si>
    <t>Jefe de Desarrollo</t>
  </si>
  <si>
    <t>Jefe de Consultoría</t>
  </si>
  <si>
    <t>Jefe de Ventas</t>
  </si>
  <si>
    <t>Jefe de Ingeniería de Soporte</t>
  </si>
  <si>
    <t>Jefe de Control de calidad</t>
  </si>
  <si>
    <t>Jefe de Help Desk</t>
  </si>
  <si>
    <t>Responsable de Consultoría</t>
  </si>
  <si>
    <t>Oficial de Seguridad de la información</t>
  </si>
  <si>
    <t>Supervisor de Seguridad y Salud en el Trabajo</t>
  </si>
  <si>
    <t>Ingeniero I+D</t>
  </si>
  <si>
    <t>Asistente de Producción</t>
  </si>
  <si>
    <t>Ingeniero de Soporte</t>
  </si>
  <si>
    <t>Asistente Administrativo</t>
  </si>
  <si>
    <t>Analista de Help Desk</t>
  </si>
  <si>
    <t>Desarrollador</t>
  </si>
  <si>
    <t>Desarrollador OSE</t>
  </si>
  <si>
    <t>Analista QA</t>
  </si>
  <si>
    <t>Consultor Senior</t>
  </si>
  <si>
    <t>Asistente de Ventas</t>
  </si>
  <si>
    <t>Operador OSE</t>
  </si>
  <si>
    <t>Responsable de plataforma OSE</t>
  </si>
  <si>
    <t>Jefe de Soporte al cliente</t>
  </si>
  <si>
    <t>Opción</t>
  </si>
  <si>
    <t>1. Elección de controles</t>
  </si>
  <si>
    <t>2. Transferencia de riesgos a terceros</t>
  </si>
  <si>
    <t>3. Evitar el riesgo</t>
  </si>
  <si>
    <t>4. Aceptación del riesgo</t>
  </si>
  <si>
    <t>Estado</t>
  </si>
  <si>
    <t>Identificado</t>
  </si>
  <si>
    <t>En evaluación</t>
  </si>
  <si>
    <t>En tratamiento</t>
  </si>
  <si>
    <t>Mitigado / Cerrado</t>
  </si>
  <si>
    <t>Aceptado</t>
  </si>
  <si>
    <t>Matriz de Identificación y Valoración de Riesgos — SiempreSoft (enfoque basado en eventos)</t>
  </si>
  <si>
    <t>DOCUMENTO PARA: SGSI  ·  ÁREA: SEGURIDAD DE LA INFORMACIÓN  ·  NIVEL DE CONFIDENCIALIDAD: USO INTERNO  ·  El tratamiento de riesgos se gestiona en la hoja "Tratamiento de riesgos" (vinculada por ID)</t>
  </si>
  <si>
    <t>Identificación del riesgo</t>
  </si>
  <si>
    <t>Evaluación del riesgo</t>
  </si>
  <si>
    <t>Seguimiento</t>
  </si>
  <si>
    <t>ID</t>
  </si>
  <si>
    <t>Origen del riesgo</t>
  </si>
  <si>
    <t>Categoría de riesgo</t>
  </si>
  <si>
    <t>Fuente de riesgo (causa u origen específico)</t>
  </si>
  <si>
    <t>Estado final deseado / Motivación (DES)
(solo si el origen es deliberado)</t>
  </si>
  <si>
    <t>Consecuencia</t>
  </si>
  <si>
    <t>Probabilidad</t>
  </si>
  <si>
    <t>Nivel de riesgo</t>
  </si>
  <si>
    <t>Controles existentes</t>
  </si>
  <si>
    <t>Propietario del riesgo</t>
  </si>
  <si>
    <t>¿Tiene tratamiento
asignado?</t>
  </si>
  <si>
    <t>Estado del registro</t>
  </si>
  <si>
    <t>R06</t>
  </si>
  <si>
    <t>R16</t>
  </si>
  <si>
    <t>R23</t>
  </si>
  <si>
    <t>R28</t>
  </si>
  <si>
    <t>R29</t>
  </si>
  <si>
    <t>R35</t>
  </si>
  <si>
    <t>R39</t>
  </si>
  <si>
    <t>Multas o sanciones</t>
  </si>
  <si>
    <t>R46</t>
  </si>
  <si>
    <t>Pruebas unitarias OSE</t>
  </si>
  <si>
    <t>Incumplimiento en la comprobación informática (reglas de validación no indicadas)</t>
  </si>
  <si>
    <t>R47</t>
  </si>
  <si>
    <t>R48</t>
  </si>
  <si>
    <t>R49</t>
  </si>
  <si>
    <t>Capacitación en atención al cliente
Beneficios laborales para fidelizar el talento humano</t>
  </si>
  <si>
    <t>R50</t>
  </si>
  <si>
    <t>R51</t>
  </si>
  <si>
    <t>R52</t>
  </si>
  <si>
    <t>R53</t>
  </si>
  <si>
    <t>R54</t>
  </si>
  <si>
    <t>R55</t>
  </si>
  <si>
    <t>R56</t>
  </si>
  <si>
    <t>Tratamiento de Riesgos — SiempreSoft (vinculado por ID a la hoja "Matriz de riesgos")</t>
  </si>
  <si>
    <t>DOCUMENTO PARA: SGSI · ÁREA: SEGURIDAD DE LA INFORMACIÓN · NIVEL DE CONFIDENCIALIDAD: RESTRINGIDA  ·  Subsana Obs.2 de auditoría (6.1.3): pestaña propia para el tratamiento, separada de identificación/análisis/evaluación y vinculada por ID</t>
  </si>
  <si>
    <t>Vínculo con Matriz de riesgos</t>
  </si>
  <si>
    <t>Plan de tratamiento</t>
  </si>
  <si>
    <t>Riesgo residual</t>
  </si>
  <si>
    <t>Cierre</t>
  </si>
  <si>
    <t>Item</t>
  </si>
  <si>
    <t>ID del riesgo</t>
  </si>
  <si>
    <t>Proceso
(auto)</t>
  </si>
  <si>
    <t>Nivel de riesgo
(auto)</t>
  </si>
  <si>
    <t>Opción de tratamiento</t>
  </si>
  <si>
    <t>Control / actividad a implementar</t>
  </si>
  <si>
    <t>Responsable de implementación</t>
  </si>
  <si>
    <t>Plazo inicio</t>
  </si>
  <si>
    <t>Plazo fin</t>
  </si>
  <si>
    <t>Recursos requeridos</t>
  </si>
  <si>
    <t>Estado de implementación</t>
  </si>
  <si>
    <t>Consecuencia residual</t>
  </si>
  <si>
    <t>Probabilidad residual</t>
  </si>
  <si>
    <t>Nivel de riesgo
residual (auto)</t>
  </si>
  <si>
    <t>Fecha de cierre</t>
  </si>
  <si>
    <t>Observaciones</t>
  </si>
  <si>
    <t>Implementar la identificación de usuario en aplicaciones con OpenID Connect para la autenticación en el ERP</t>
  </si>
  <si>
    <t>Octubre 2024</t>
  </si>
  <si>
    <t>Julio 2025</t>
  </si>
  <si>
    <t>Humano
Tecnológico</t>
  </si>
  <si>
    <t>Pendiente</t>
  </si>
  <si>
    <t>Capacitación en las reglas WAF y revisiones periódicas de los registros y log</t>
  </si>
  <si>
    <t>Agosto 2023</t>
  </si>
  <si>
    <t>Diciembre 2023</t>
  </si>
  <si>
    <t>Humano</t>
  </si>
  <si>
    <t>Inclusión en los procedimientos operativos de TI</t>
  </si>
  <si>
    <t>Seleccionar las tareas a automatizar y asignar los roles y responsables que deben verificar el cumplimiento</t>
  </si>
  <si>
    <t>Octubre 2023</t>
  </si>
  <si>
    <t>Humano
Financiero</t>
  </si>
  <si>
    <t>Actualización de procedimientos, creación de instructivos, capacitación</t>
  </si>
  <si>
    <t>Contratar el servicio HSM en la nube e implementar en Producción</t>
  </si>
  <si>
    <t>Humano
Tecnológico
Financiero</t>
  </si>
  <si>
    <t>Implementación del API PSE</t>
  </si>
  <si>
    <t>Abril 2024</t>
  </si>
  <si>
    <t>Pruebas en el API TEST</t>
  </si>
  <si>
    <t>Cambio en código fuente</t>
  </si>
  <si>
    <t>Enero 2025</t>
  </si>
  <si>
    <t>Marzo 2025</t>
  </si>
  <si>
    <t>Elaborar propuesta a debatir
Creación de BD múltiples con esquemas</t>
  </si>
  <si>
    <t>Planificación de beneficios sociales a los colaboradores</t>
  </si>
  <si>
    <t>Agosto 2024</t>
  </si>
  <si>
    <t>- Fortalecimiento en la cultura organizacional, 
- Trabajo en equipo, 
- Sábados libres para todo el 2024
- Beneficios económicos de dividendos (trimestral)</t>
  </si>
  <si>
    <t>Mayo 2025</t>
  </si>
  <si>
    <t>Nuevo desarrollo para pruebas unitarias en el servicio OSE</t>
  </si>
  <si>
    <t>Tecnológico
Humano</t>
  </si>
  <si>
    <t>Nuevo desarrollo en DevOps y Pipeline</t>
  </si>
  <si>
    <t>Setiembre 2025</t>
  </si>
  <si>
    <t>Contratación de Analistas e Ingenieros de Soporte al cliente
Retomar sábados libre
Separación de área de Soporte (Help Desk y Ingeniería de Soporte al cliente)</t>
  </si>
  <si>
    <t>Mapa de calor de riesgos — conteo automático por Consecuencia × Probabilidad</t>
  </si>
  <si>
    <t>Se actualiza solo con COUNTIFS sobre la hoja "Matriz de riesgos". El número indica cuántos riesgos caen en esa celda.</t>
  </si>
  <si>
    <t>Leyenda de nivel de riesgo</t>
  </si>
  <si>
    <t>Totales por nivel</t>
  </si>
  <si>
    <t>Totales por categoría de riesgo</t>
  </si>
  <si>
    <t>Revisión por la Dirección</t>
  </si>
  <si>
    <t>Gestion Comercial</t>
  </si>
  <si>
    <t>Gestión del éxito y atención del cliente</t>
  </si>
  <si>
    <t>Ingenieria y calidad de sofware</t>
  </si>
  <si>
    <t>Gestion de operaciones</t>
  </si>
  <si>
    <t>Recursos humanos</t>
  </si>
  <si>
    <t>Logística</t>
  </si>
  <si>
    <t>Infraestructura tecnológica</t>
  </si>
  <si>
    <t>Marketing</t>
  </si>
  <si>
    <t>Subtipo de "Accidental" (código A del Anexo B). El estándar no distingue un origen "Técnico" aparte: una falla de sistema no es intencional (no es D) ni viene del entorno físico (no es E), así que cae en Accidental. Se separa aquí solo como ayuda operativa, para diferenciar el control a aplicar (automatización/redundancia vs. capacitación/doble validación).
Fallas de hardware/software, obsolescencia, configuración, capacidad, dependencia de terceros tecnológicos (ej. Azure).</t>
  </si>
  <si>
    <t>Técnico (falla de sistema/infraestructura)</t>
  </si>
  <si>
    <t>Cambios en las directivas de seguridad del proveedor</t>
  </si>
  <si>
    <t>Bloqueo del protocolo de escritorio remoto (RDP) en servidor de Producción tras la actualización provoca pérdida de acceso</t>
  </si>
  <si>
    <t>Activo o proceso de negocio afectado</t>
  </si>
  <si>
    <t>Evento (que pasa tecnicamente)</t>
  </si>
  <si>
    <t>Escenario estratégico (narrativa que conecta todo, sustenta consecuencia)</t>
  </si>
  <si>
    <t>Escenario operacional (que condición técnica hace que sea probable, sustenta probabilidad)</t>
  </si>
  <si>
    <t>Origen del hallazgo</t>
  </si>
  <si>
    <t>Referencia / evidencia</t>
  </si>
  <si>
    <t>Se aplica una actualización acumulativa del SO → el servicio RDP del servidor de Producción queda bloqueado → se pierde el acceso administrativo a la VM → se interrumpe la disponibilidad de acceso para copiar los binarios a instalar.</t>
  </si>
  <si>
    <t>Los servidores de producción no cuentan con ventana de pruebas/staging previa a la aplicación de actualizaciones del SO, ni con snapshot/rollback automático — cualquier actualización acumulativa se despliega directo a producción sin validar compatibilidad con los servicios y/o aplicaciones.</t>
  </si>
  <si>
    <t>Incidente de seguridad</t>
  </si>
  <si>
    <t>Servidor nuevo (Windows Server 2022) destinado al ERP</t>
  </si>
  <si>
    <t>R57</t>
  </si>
  <si>
    <t>R58</t>
  </si>
  <si>
    <t>R59</t>
  </si>
  <si>
    <t>Actualización del ERP desde una versión acumulada sin validación completa de compatibilidad funcional.</t>
  </si>
  <si>
    <t>Proceso de ventas en cliente OP</t>
  </si>
  <si>
    <t>La actualización del ERP generó inconsistencias en el manejo de lotes, impidiendo registrar correctamente las ventas en las cajas. Como consecuencia, las operaciones comerciales del cliente se interrumpieron temporalmente, generando pérdida de productividad, retrasos operativos y  reclamos hacia Siempresoft.</t>
  </si>
  <si>
    <t>RISI_04_2026</t>
  </si>
  <si>
    <t>RISI_03_2026</t>
  </si>
  <si>
    <t>Capacitación a clientes</t>
  </si>
  <si>
    <t>Los videos de capacitación fueron compartidos utilizando usuarios invitados sin un procedimiento formal de incorporación al tenant de Microsoft Entra ID. Ante cambios futuros en las políticas de acceso, los usuarios deberán ser registrados, invitados y aceptar previamente la invitación para acceder al contenido.</t>
  </si>
  <si>
    <t>Cambios en servicios o políticas de proveedores cloud.</t>
  </si>
  <si>
    <t>Los usuarios invitados externos ya no pueden acceder directamente a videos compartidos debido a nuevas validaciones de identidad requeridas por Microsoft Entra ID (B2B).</t>
  </si>
  <si>
    <t>I. Escala de Consecuencia</t>
  </si>
  <si>
    <t>J. Escala de Probabilidad</t>
  </si>
  <si>
    <t>K. Matriz de Nivel de riesgo (Probabilidad × Consecuencia)</t>
  </si>
  <si>
    <t>L. Propietarios de riesgo (roles)</t>
  </si>
  <si>
    <t>M. Opciones de tratamiento (referencia)</t>
  </si>
  <si>
    <t>N. Estado del riesgo</t>
  </si>
  <si>
    <t>H. Origen del Hallazgo</t>
  </si>
  <si>
    <t>Cambio (RFC)</t>
  </si>
  <si>
    <t>Proyecto</t>
  </si>
  <si>
    <t>Auditoría</t>
  </si>
  <si>
    <t>Revisión periódica</t>
  </si>
  <si>
    <t>Otro</t>
  </si>
  <si>
    <t>Hallazgo identificado como consecuencia de un incidente real o potencial que afectó la confidencialidad, integridad o disponibilidad de la información.</t>
  </si>
  <si>
    <t>Hallazgo detectado durante la implementación, revisión o evaluación de un cambio tecnológico, funcional o de infraestructura.</t>
  </si>
  <si>
    <t>Hallazgo identificado durante la ejecución, implementación o cierre de un proyecto, iniciativa o mejora tecnológica.</t>
  </si>
  <si>
    <t>Hallazgo identificado a través de auditorías internas, externas, regulatorias o de certificación.</t>
  </si>
  <si>
    <t>Hallazgo detectado durante actividades rutinarias de monitoreo, seguimiento, control o revisión programada de procesos, activos o controles.</t>
  </si>
  <si>
    <t>Hallazgo identificado por otros medios no contemplados en las categorías anteriores, tales como sugerencias, observaciones, lecciones aprendidas o análisis específicos.</t>
  </si>
  <si>
    <t>Pérdida parcial de conectividad entre una máquina virtual y los servicios publicados debido a problemas de enrutamiento de red en la región West US.</t>
  </si>
  <si>
    <t>Servicios del ERP alojados en el servidor de Azure</t>
  </si>
  <si>
    <t>Una degradación de conectividad en la región West US afectó únicamente a uno de los servidores de producción (10.0.0.7), impidiendo la llamada a los servicios del IIS. La demora en la publicación de información oficial por parte de Azure provocó que el equipo técnico dedicara un tiempo considerable a actividades de diagnóstico e investigación, retrasando la restauración normal del servicio y afectando la capacidad de respuesta ante el incidente.</t>
  </si>
  <si>
    <t>La organización depende de servicios de red administrados por Azure y no tiene visibilidad directa sobre los cambios internos de infraestructura del proveedor. Debido a que la incidencia afectó únicamente determinados flujos de red y no todos los servicios del servidor (BD operativas), el diagnóstico inicial fue complejo y generó múltiples actividades de análisis antes de identificar la causa real del incidente.</t>
  </si>
  <si>
    <t>RISI_01_2026</t>
  </si>
  <si>
    <t>No aplica</t>
  </si>
  <si>
    <t>R60</t>
  </si>
  <si>
    <t>R61</t>
  </si>
  <si>
    <t>R62</t>
  </si>
  <si>
    <t>R63</t>
  </si>
  <si>
    <t>R64</t>
  </si>
  <si>
    <t>R65</t>
  </si>
  <si>
    <t>R66</t>
  </si>
  <si>
    <t>R67</t>
  </si>
  <si>
    <t>R68</t>
  </si>
  <si>
    <t>R69</t>
  </si>
  <si>
    <t>R70</t>
  </si>
  <si>
    <t>R71</t>
  </si>
  <si>
    <t>R72</t>
  </si>
  <si>
    <t>R73</t>
  </si>
  <si>
    <t>R74</t>
  </si>
  <si>
    <t>R75</t>
  </si>
  <si>
    <t>R76</t>
  </si>
  <si>
    <t>Uso de herramientas públicas de Inteligencia Artificial durante actividades de análisis, depuración o soporte técnico.</t>
  </si>
  <si>
    <t>Carga o exposición de fragmentos de código fuente, consultas SQL, cadenas de conexión o fuga de datos del ERP en plataformas públicas de Inteligencia Artificial.</t>
  </si>
  <si>
    <t>Durante actividades de soporte, análisis o depuración de incidencias, podría existir la necesidad de utilizar herramientas públicas de Inteligencia Artificial como apoyo técnico. En caso de no aplicarse criterios adecuados de clasificación y protección de la información, existe la posibilidad de que información técnica de la organización sea expuesta fuera de los entornos controlados por Siempresoft.</t>
  </si>
  <si>
    <t>Código fuente del ERP, Bases de datos, Propiedad intelectual</t>
  </si>
  <si>
    <t>Creación de tickets de soporte</t>
  </si>
  <si>
    <t>Procedimientos Operativos para TI y de la Comunicación / Actualizaciones previas de SO en servidor de pruebas QA
Solicitud de soporte de Azure</t>
  </si>
  <si>
    <t>Directivas de etiquetado - Microsoft Purview
Compromiso de no divulgación
Declaración de no divulgación
Capacitaciones de concientización</t>
  </si>
  <si>
    <t>Cambios/mantenimiento de infraestructura del proveedor cloud</t>
  </si>
  <si>
    <t>Alertas de Azure Services Health
Solicitud de soporte de Azure
Aporte de investigación en la IA</t>
  </si>
  <si>
    <t>Riesgo emergente identificado en revisión del SGSI 2026. Sin incidentes reportados a la fecha.</t>
  </si>
  <si>
    <t>La creciente disponibilidad y facilidad de acceso a herramientas de Inteligencia Artificial incrementa la probabilidad de que estas sean utilizadas durante tareas de desarrollo o soporte, si bien existen controles administrativos no se cuenta con controles técnicos que validen el tipo de información compartida.</t>
  </si>
  <si>
    <t>Las nuevas versiones pasan por el flujo completo de pruebas y por un periodo de estabilización de dos semanas en el entorno SaaS antes de instalarse en clientes On-Premise. Sin embargo, la validación no cubre la configuración ni los datos específicos de cada cliente OP, que además parten de un desfase acumulado de versiones respecto a la versión estable. Esa combinación no está cubierta por las pruebas de regresión actuales.</t>
  </si>
  <si>
    <t>Procedimiento de despliegue de nueva versión del ERP
Pruebas de control de calidad
Procedimiento de reversión de instalación del ERP</t>
  </si>
  <si>
    <t>Errores de cálculo en el manejo de lotes que impiden registrar ventas al cliente OP</t>
  </si>
  <si>
    <t>Actualización acumulativa defectuosa de Windows Server 2022 publicada por Microsoft sin pruebas suficientes y no retirada del canal de distribución pese a haber sido detectada, aplicada automáticamente en VM nuevas de Azure.</t>
  </si>
  <si>
    <t>La modificación de las directivas de seguridad para usuarios invitados impide que clientes accedan directamente al material de capacitación compartido, esto genera retrasos en la transferencia de conocimiento, incrementa las solicitudes de soporte. La solución indicada por el proveedor (incorporar al cliente como invitado en el tenant de Microsoft Entra ID) fue evaluada y descartada por SiempreSoft por riesgo de exposición del tenant, por lo que el flujo actual de distribución seguirá bloqueado mientras no se defina un canal alternativo.</t>
  </si>
  <si>
    <t>TrackingID#2608140040005948
GRABACIONES DE CAPACITACIONES / DEMOSTRACIONES - SIEMPRESOFT (15/9/26)</t>
  </si>
  <si>
    <t>Padrón interno de DNI (réplica de RENIEC en la base de datos del ERP) desactualizado: no incorporaba DNI de emisión reciente ni bajas por fallecimiento, y no existía mecanismo automático de actualización."</t>
  </si>
  <si>
    <t>Rechazo de guías de remisión por SUNAT al no poder validar el DNI del destinatario contra el padrón interno desactualizado.</t>
  </si>
  <si>
    <t>El rechazo del comprobante permitía corregir el DNI y reenviarlo a SUNAT, por lo que no se perdía el documento ni se incumplía la obligación tributaria. Sin embargo, cada rechazo obligaba a intervención manual del usuario y del área de soporte, distorsionaba los reportes de FE y generaba quejas de clientes por la fricción en su operación diaria.</t>
  </si>
  <si>
    <t>Padrón interno de DNI del ERP · Proceso de envios</t>
  </si>
  <si>
    <t>El padrón de DNI se mantenía como una réplica interna actualizada de forma periódica y manual, sin consulta en línea a RENIEC. Los DNI recientes o dado de baja por fallecimiento no era actualizado de manera inmediata, generando el rechazo y aumentando la cantidad de pendientes en el reporte diario.</t>
  </si>
  <si>
    <t>Reportes de Facturación electrónica</t>
  </si>
  <si>
    <t>Revisiones periódicas de facturación electrónica</t>
  </si>
  <si>
    <t>PRODUCT BACKLOG ITEM 6598: Validar DNI al registrar una guía de remisión
Contratación de API de consulta a RENIEC que llena y actualiza automaticamente el padrón interno (bd RENIEC)</t>
  </si>
  <si>
    <t>Control inexistente al momento de la identificación del riesgo; implementado posteriormente mediante API de actualización del padrón.</t>
  </si>
  <si>
    <t>Migración del código fuente del ERP a .NET Standard 2.0 con incompatibilidad de tipos de datos entre las versiones origen y destino.</t>
  </si>
  <si>
    <t>Cálculos inconsistentes en módulos críticos del ERP por incompatibilidad de tipos de datos tras la migración a .NET Standard.</t>
  </si>
  <si>
    <t>Módulos críticos del ERP (cálculos) · Código fuente migrado a .NET Standard</t>
  </si>
  <si>
    <t>La incompatibilidad de tipos de datos entre las versiones .NET produjo resultados de cálculo incorrectos en módulos críticos del ERP (promociones, bonificaciones, cantidad en los lotes), generando quejas de clientes al área de soporte al no coincidir los valores esperados con los obtenidos.</t>
  </si>
  <si>
    <t>La migración de código a .NET Standard implica cambios en el manejo interno de tipos de datos (precisión, redondeo, conversión implícita/explícita) que no siempre son equivalentes entre frameworks. Sin pruebas de regresión exhaustivas sobre los módulos de cálculo, estas diferencias pasan a producción sin detectarse.</t>
  </si>
  <si>
    <t>(BUG 6104 Revisar devolución de bonificados de combos en opción rechazos clientes) - ANTAM
(Bug 7084: No validar stock de lote cuando el config 302 está activo) - ELSUPER</t>
  </si>
  <si>
    <t xml:space="preserve">Beta VF 5.22.17.1 
VF 5.22.24.1 </t>
  </si>
  <si>
    <t>Procedimiento para el análisis de requerimiento
Procedimiento de control de calidad
Procedimiento de reversión de versión</t>
  </si>
  <si>
    <t>Recursos humanos
Recurso tecnológico</t>
  </si>
  <si>
    <t>Corrección puntual por cliente afectado (ANTAM, ELSUPER); pendiente confirmar si existen otros módulos con el mismo patrón de incompatibilidad de tipos de datos tras la migración a .NET Standard.</t>
  </si>
  <si>
    <t>Rotaciones automáticas anuales (sin alertas)
Programa que cifra tag que contiene las credenciales (solo en el módulo de facturación electrónica)</t>
  </si>
  <si>
    <t>Facturación y cobranza</t>
  </si>
  <si>
    <t>Credenciales (API key) de integraciones, gestionadas en un archivo Excel compartido como referencia, no cuenta con control de versiones ni gestión centralizada de secretos.</t>
  </si>
  <si>
    <t>Exposición de credenciales de API key almacenadas en archivo Excel, ante pérdida, filtración o acceso no controlado al archivo, al no existir rotación periódica ni trazabilidad de quién accede o modifica su contenido.</t>
  </si>
  <si>
    <t>Credenciales (API key) de integraciones del ERP · Archivo Excel de gestión de credenciales</t>
  </si>
  <si>
    <t>Si el archivo Excel llegara a circular fuera de su ámbito autorizado, las credenciales quedarían expuestas sin posibilidad de rotarlas de inmediato ni de saber desde cuándo estuvieron comprometidas. Esto habilitaría uso no autorizado de las integraciones del ERP y fuga de información.</t>
  </si>
  <si>
    <t>El cifrado automático de credenciales solo cubre el módulo de facturación electrónica; las credenciales de otras integraciones se documentan en un archivo Excel de uso interno sin un control centralizado de gestión de secretos. Adicionalmente, la rotación automática existente es anual y no genera alertas, por lo que un fallo en el proceso de rotación pasaría inadvertido.</t>
  </si>
  <si>
    <t>Riesgo identificado por observación del proceso de despliegue: la gestión de credenciales en archivo Excel es realizada manualmente por el Asistente de Producción. Sin incidentes reportados a la fecha.</t>
  </si>
  <si>
    <t>Cobertura parcial a la fecha: Key Vault aplicado solo a facturación electrónica y cifrado por tag solo en servidores on-premise; las credenciales de otras integraciones permanecen en archivo Excel hasta el pase a producción del sistema web de control de cambios. Pendiente reunión de capacitación (segunda convocatoria) e implementación.</t>
  </si>
  <si>
    <t>1) Migración de credenciales a Azure Key Vault, implementada para el módulo de facturación electrónica. 
2) Cifrado mediante tag, aplicable únicamente a servidores on-premise. 
3) Sistema web propio de gestión y control de cambios de credenciales: registra altas y modificaciones, oculta el valor con asteriscos mostrándolo solo al momento de su generación, y genera automáticamente el control de vigencia/rotación a partir de la fecha de caducidad indicada. Desarrollado y disponible, pendiente de capacitación al equipo y puesta en producción.</t>
  </si>
  <si>
    <t>Incorporar al procedimiento de TI revisión obligatoria de los problemas conocidos (known issues) publicados por el proveedor antes de instalar actualizaciones acumulativas del SO tanto al servidor QA como a VM de producción. Incluye deshabilitar Windows Update automático en la VM recién creada hasta completar dicha verificación.</t>
  </si>
  <si>
    <t>Portal de status de los servicios de SIEMPRESOFT</t>
  </si>
  <si>
    <t>Recursos humanos
Recurso tecnológico
Recursos financieros</t>
  </si>
  <si>
    <t>Mejoras en las directivas DLP</t>
  </si>
  <si>
    <t>Debilidad en el análisis crediticio: no existe un procedimiento formal de evaluación de clientes antes de otorgar crédito o condiciones de pago diferido (sin criterios documentados de historial de pagos, consulta a centrales de riesgo, estados financieros ni límites de crédito aprobados).</t>
  </si>
  <si>
    <t>Aprobación de ventas, contratos o servicios al crédito a clientes cuya capacidad de pago no fue evaluada adecuadamente, generando cuentas por cobrar vencidas, morosidad prolongada o deudas incobrables.</t>
  </si>
  <si>
    <t>Proceso comercial y de otorgamiento de crédito · Cuentas por cobrar · Flujo de caja de la empresa</t>
  </si>
  <si>
    <t>Al otorgar crédito sin evaluar la solvencia del cliente, la empresa presta servicios (licencias ERP, PSE/OSE, implementación y soporte) que no son pagados en el plazo pactado o no llegan a recuperarse. Esto incrementa la cartera morosa, obliga a destinar recursos a gestiones de cobranza, afecta el flujo de caja y, ante la incobrabilidad, genera una pérdida económica directa por provisión o castigo de la deuda.</t>
  </si>
  <si>
    <t>La decisión de otorgar crédito depende del criterio individual del área de ventas, sin una evaluación previa estandarizada (consulta a centrales de riesgo, revisión del historial de pagos del cliente), sin límites de crédito por cliente y sin alertas de deuda vencida en el ERP. Por ello, clientes con alto riesgo de impago pueden ser aceptados sin detectarse oportunamente.</t>
  </si>
  <si>
    <t>Reportes de Morosidad</t>
  </si>
  <si>
    <t>Servicio Equifax contratado e implementado. La consulta previa reduce la probabilidad de otorgar crédito a clientes con mala calificación; la consecuencia se mantiene ante un eventual impago. Evidencia: contrato/orden de servicio con Equifax, reportes de consulta por cliente y comparativo de los reportes de morosidad antes y después de la implementación.</t>
  </si>
  <si>
    <t>Contratación del servicio de Equifax para la evaluación crediticia de clientes:
1) Consulta obligatoria del reporte crediticio (score, calificación SBS, deudas vigentes, protestos y morosidad) antes de aprobar ventas o servicios al crédito y en cada renovación de contrato.
2) Criterios de decisión según el resultado de la consulta: aprobar al crédito, solicitar adelanto/garantía o aceptar solo pago al contado.</t>
  </si>
  <si>
    <t>Recursos humanos
Recursos financieros</t>
  </si>
  <si>
    <t>Clientes insatisfechos por incidencias en el ERP/PSE, demoras en la solución o falta de respuesta oportuna, que canalizan su molestia mediante trato hostil hacia el personal de atención al cliente.</t>
  </si>
  <si>
    <t>Comportamiento agresivo de clientes (insultos, presión reiterada o trato irrespetuoso) por teléfono, WhatsApp o sesiones remotas hacia el personal de Help Desk y Soporte.</t>
  </si>
  <si>
    <t>Personal del área de atención al cliente (Help Desk e Ingeniería de Soporte) · Proceso de atención al cliente</t>
  </si>
  <si>
    <t>La exposición constante a clientes agresivos incrementa los niveles de estrés y desgaste emocional del personal de atención al cliente, provocando baja motivación. Esto genera errores en la atención, mayores tiempos de respuesta y deterioro de la calidad del servicio, lo que a su vez aumenta las quejas y afecta la imagen de la empresa.</t>
  </si>
  <si>
    <t>No se cuenta con un protocolo formal para el manejo de clientes agresivos ni con criterios de escalamiento hacia la jefatura; el personal atiende directamente y sin límites definidos. En periodos de alta demanda (cierres de mes, cambios normativos de SUNAT, fallas del servicio, despliegue de nuevas versiones) aumenta el volumen de solicitudes y la presión de los clientes, y no se registran los incidentes de trato hostil al personal.</t>
  </si>
  <si>
    <t xml:space="preserve">Riesgo identificado por  comentarios verbales del personal de Help Desk y Soporte a la jefatura. Los episodios de trato hostil no se registran formalmente a la fecha.
</t>
  </si>
  <si>
    <t>Cpacitación en atención al cliente</t>
  </si>
  <si>
    <t xml:space="preserve">Ausencia de un entorno de staging que replique la configuración, los datos y las integraciones reales de producción (ERP/PSE); las pruebas se realizan solo en el entorno de desarrollo/QA, con datos y condiciones distintas a las reales.
</t>
  </si>
  <si>
    <t>Despliegue en producción de versiones del ERP con errores no detectados en QA (fallas funcionales, de cálculo, de rendimiento o de integración), que se manifiestan recién cuando los clientes operan con la nueva versión.</t>
  </si>
  <si>
    <t>Versiones del ERP liberadas a producción · Proceso de despliegue y control de calidad</t>
  </si>
  <si>
    <t>Al liberar versiones sin validarlas en un entorno equivalente a producción, los errores llegan directamente a los clientes, afectando su operación diaria (ventas, emisión de comprobantes,contabilidad, reportes). Esto incrementa las quejas y solicitudes al área de soporte, obliga a correcciones urgentes (hotfix) o a revertir la versión, consume horas no planificadas de Desarrollo y Soporte, y deteriora la confianza del cliente en las actualizaciones del ERP.</t>
  </si>
  <si>
    <t>Las pruebas de QA se ejecutan en un entorno que no replica los volúmenes de datos, configuraciones particulares por cliente ni las integraciones reales. Sumado a la frecuencia de despliegues y a la ausencia de un pipeline de despliegue controlado (DevOps) con etapas de validación previas, es muy probable que errores propios del entorno real pasen a producción sin detectarse.</t>
  </si>
  <si>
    <t>Tickets de soporte, quejas de clientes posteriores a despliegues de nuevas versiones; registros de hotfix o reversiones de versión.</t>
  </si>
  <si>
    <t>Recursos para pruebas de QA 
Procedimiento de control de calidad 
Procedimiento de reversión de versión</t>
  </si>
  <si>
    <t>Octubre 2026</t>
  </si>
  <si>
    <t>Recursos humanos
Recursos tecnológico</t>
  </si>
  <si>
    <t>Implementación de despliegues controlados mediante pipeline (DevOps) y pruebas automáticas en los módulos críticos del ERP:
Pipeline de integración y despliegue continuo: compilación, ejecución de pruebas y despliegue por etapas (Desarrollo → QA → Producción), con aprobación previa antes del pase a producción.
Pruebas automáticas (unitarias y de regresión) en los módulos críticos: ventas, emisión de comprobantes y contabilidad. El pipeline bloquea el despliegue si alguna prueba falla.
Reversión (rollback) de la versión desde el pipeline ante fallas detectadas en producción.</t>
  </si>
  <si>
    <t>Procesos manuales en la web de soporte: el cambio de estado, la notificación al cliente y el cierre de las solicitudes dependen de que el analista lo realice manualmente, sin reglas automáticas de cierre ni alertas de vencimiento.</t>
  </si>
  <si>
    <t>Solicitudes de soporte que permanecen abiertas o se cierran fuera de plazo, aun cuando ya fueron atendidas, por omisión u olvido del cierre manual o por falta de confirmación del cliente.</t>
  </si>
  <si>
    <t>Web de soporte al cliente
Proceso de atención al cliente (SLA)
Indicadores de atención al cliente</t>
  </si>
  <si>
    <t>Los tickets abiertos que ya fueron atendidos distorsionaba los indicadores de atención.</t>
  </si>
  <si>
    <t>El cierre de cada solicitus requiere de una acción manuao del Analista. No existen reglas de cierre automático por confirmación del cliente, ni alerta de tickets vencidos</t>
  </si>
  <si>
    <t>Reportes de la web  de soporte.</t>
  </si>
  <si>
    <t>Revisión manual de los tickets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</si>
</sst>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charset val="1"/>
    </font>
    <font>
      <b/>
      <sz val="16"/>
      <color rgb="FFFFFFFF"/>
      <name val="Calibri"/>
      <family val="2"/>
    </font>
    <font>
      <b/>
      <sz val="11"/>
      <color rgb="FFFFFFFF"/>
      <name val="Calibri"/>
      <family val="2"/>
    </font>
    <font>
      <b/>
      <sz val="12"/>
      <color rgb="FF1F3864"/>
      <name val="Calibri"/>
      <family val="2"/>
    </font>
    <font>
      <sz val="10"/>
      <name val="Calibri"/>
      <family val="2"/>
    </font>
    <font>
      <b/>
      <sz val="10.5"/>
      <color rgb="FF1F3864"/>
      <name val="Calibri"/>
      <family val="2"/>
    </font>
    <font>
      <b/>
      <sz val="10"/>
      <color rgb="FF2E5395"/>
      <name val="Calibri"/>
      <family val="2"/>
    </font>
    <font>
      <i/>
      <sz val="10"/>
      <color rgb="FF808080"/>
      <name val="Calibri"/>
      <family val="2"/>
    </font>
    <font>
      <b/>
      <sz val="13"/>
      <color rgb="FF1F3864"/>
      <name val="Calibri"/>
      <family val="2"/>
    </font>
    <font>
      <b/>
      <sz val="11"/>
      <color rgb="FF2E5395"/>
      <name val="Calibri"/>
      <family val="2"/>
    </font>
    <font>
      <b/>
      <sz val="10"/>
      <color rgb="FF1F3864"/>
      <name val="Calibri"/>
      <family val="2"/>
    </font>
    <font>
      <b/>
      <sz val="10"/>
      <name val="Calibri"/>
      <family val="2"/>
    </font>
    <font>
      <b/>
      <sz val="13"/>
      <color rgb="FFFFFFFF"/>
      <name val="Calibri"/>
      <family val="2"/>
    </font>
    <font>
      <i/>
      <sz val="9"/>
      <color rgb="FF595959"/>
      <name val="Calibri"/>
      <family val="2"/>
    </font>
    <font>
      <b/>
      <sz val="10"/>
      <color rgb="FFFFFFFF"/>
      <name val="Calibri"/>
      <family val="2"/>
    </font>
    <font>
      <b/>
      <sz val="9.5"/>
      <color rgb="FFFFFFFF"/>
      <name val="Calibri"/>
      <family val="2"/>
    </font>
    <font>
      <b/>
      <sz val="14"/>
      <name val="Calibri"/>
      <family val="2"/>
    </font>
    <font>
      <b/>
      <sz val="11"/>
      <name val="Calibri"/>
      <family val="2"/>
    </font>
    <font>
      <sz val="8"/>
      <name val="Calibri"/>
      <family val="2"/>
      <charset val="1"/>
    </font>
  </fonts>
  <fills count="11">
    <fill>
      <patternFill patternType="none"/>
    </fill>
    <fill>
      <patternFill patternType="gray125"/>
    </fill>
    <fill>
      <patternFill patternType="solid">
        <fgColor rgb="FF1F3864"/>
        <bgColor rgb="FF333333"/>
      </patternFill>
    </fill>
    <fill>
      <patternFill patternType="solid">
        <fgColor rgb="FF2E5395"/>
        <bgColor rgb="FF1F3864"/>
      </patternFill>
    </fill>
    <fill>
      <patternFill patternType="solid">
        <fgColor rgb="FFDCE6F1"/>
        <bgColor rgb="FFC6EFCE"/>
      </patternFill>
    </fill>
    <fill>
      <patternFill patternType="solid">
        <fgColor rgb="FFFFF2CC"/>
        <bgColor rgb="FFFFE699"/>
      </patternFill>
    </fill>
    <fill>
      <patternFill patternType="solid">
        <fgColor rgb="FF9DC3E6"/>
        <bgColor rgb="FFBFBFBF"/>
      </patternFill>
    </fill>
    <fill>
      <patternFill patternType="solid">
        <fgColor rgb="FFA9D18E"/>
        <bgColor rgb="FFBFBFBF"/>
      </patternFill>
    </fill>
    <fill>
      <patternFill patternType="solid">
        <fgColor rgb="FFFFE699"/>
        <bgColor rgb="FFFFF2CC"/>
      </patternFill>
    </fill>
    <fill>
      <patternFill patternType="solid">
        <fgColor rgb="FFF4B183"/>
        <bgColor rgb="FFFFCFCF"/>
      </patternFill>
    </fill>
    <fill>
      <patternFill patternType="solid">
        <fgColor rgb="FFFF7C80"/>
        <bgColor rgb="FFF4B183"/>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diagonal/>
    </border>
  </borders>
  <cellStyleXfs count="1">
    <xf numFmtId="0" fontId="0" fillId="0" borderId="0"/>
  </cellStyleXfs>
  <cellXfs count="80">
    <xf numFmtId="0" fontId="0" fillId="0" borderId="0" xfId="0"/>
    <xf numFmtId="0" fontId="7" fillId="0" borderId="0" xfId="0" applyFont="1"/>
    <xf numFmtId="0" fontId="4" fillId="0" borderId="0" xfId="0" applyFont="1" applyAlignment="1">
      <alignment vertical="top" wrapText="1"/>
    </xf>
    <xf numFmtId="0" fontId="14" fillId="3" borderId="0" xfId="0" applyFont="1" applyFill="1" applyAlignment="1">
      <alignment horizontal="center" vertical="center" wrapText="1"/>
    </xf>
    <xf numFmtId="0" fontId="6" fillId="0" borderId="0" xfId="0" applyFont="1"/>
    <xf numFmtId="0" fontId="0" fillId="5" borderId="1" xfId="0" applyFill="1" applyBorder="1"/>
    <xf numFmtId="0" fontId="0" fillId="4" borderId="1" xfId="0" applyFill="1" applyBorder="1"/>
    <xf numFmtId="0" fontId="8" fillId="0" borderId="0" xfId="0" applyFont="1"/>
    <xf numFmtId="0" fontId="9" fillId="0" borderId="0" xfId="0" applyFont="1"/>
    <xf numFmtId="0" fontId="2" fillId="2" borderId="1" xfId="0" applyFont="1" applyFill="1" applyBorder="1" applyAlignment="1">
      <alignment horizontal="left" vertical="center" wrapText="1" indent="1"/>
    </xf>
    <xf numFmtId="0" fontId="4" fillId="0" borderId="1" xfId="0" applyFont="1" applyBorder="1" applyAlignment="1">
      <alignment vertical="top"/>
    </xf>
    <xf numFmtId="0" fontId="4" fillId="0" borderId="1" xfId="0" applyFont="1" applyBorder="1" applyAlignment="1">
      <alignment vertical="top" wrapText="1"/>
    </xf>
    <xf numFmtId="0" fontId="4" fillId="5" borderId="1" xfId="0" applyFont="1" applyFill="1" applyBorder="1" applyAlignment="1">
      <alignment vertical="top"/>
    </xf>
    <xf numFmtId="0" fontId="4" fillId="5" borderId="1" xfId="0" applyFont="1" applyFill="1" applyBorder="1" applyAlignment="1">
      <alignment vertical="top" wrapText="1"/>
    </xf>
    <xf numFmtId="0" fontId="10" fillId="0" borderId="0" xfId="0" applyFont="1"/>
    <xf numFmtId="0" fontId="2" fillId="2" borderId="1"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11" fillId="7" borderId="1" xfId="0" applyFont="1" applyFill="1" applyBorder="1" applyAlignment="1">
      <alignment horizontal="center" vertical="center" wrapText="1"/>
    </xf>
    <xf numFmtId="0" fontId="11" fillId="8" borderId="1" xfId="0" applyFont="1" applyFill="1" applyBorder="1" applyAlignment="1">
      <alignment horizontal="center" vertical="center" wrapText="1"/>
    </xf>
    <xf numFmtId="0" fontId="11" fillId="9" borderId="1" xfId="0" applyFont="1" applyFill="1" applyBorder="1" applyAlignment="1">
      <alignment horizontal="center" vertical="center" wrapText="1"/>
    </xf>
    <xf numFmtId="0" fontId="11" fillId="10" borderId="1"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10" fillId="0" borderId="1" xfId="0" applyFont="1" applyBorder="1" applyAlignment="1">
      <alignment vertical="top" wrapText="1"/>
    </xf>
    <xf numFmtId="0" fontId="7" fillId="0" borderId="1" xfId="0" applyFont="1" applyBorder="1" applyAlignment="1">
      <alignment vertical="top" wrapText="1"/>
    </xf>
    <xf numFmtId="0" fontId="11" fillId="4"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4"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4" fillId="4" borderId="1" xfId="0" applyFont="1" applyFill="1" applyBorder="1" applyAlignment="1">
      <alignment vertical="top" wrapText="1"/>
    </xf>
    <xf numFmtId="0" fontId="2" fillId="2" borderId="1" xfId="0" applyFont="1" applyFill="1" applyBorder="1" applyAlignment="1">
      <alignment vertical="top" wrapText="1"/>
    </xf>
    <xf numFmtId="0" fontId="16" fillId="6" borderId="1" xfId="0" applyFont="1" applyFill="1" applyBorder="1" applyAlignment="1">
      <alignment horizontal="center" vertical="center" wrapText="1"/>
    </xf>
    <xf numFmtId="0" fontId="16" fillId="7" borderId="1" xfId="0" applyFont="1" applyFill="1" applyBorder="1" applyAlignment="1">
      <alignment horizontal="center" vertical="center" wrapText="1"/>
    </xf>
    <xf numFmtId="0" fontId="16" fillId="8" borderId="1" xfId="0" applyFont="1" applyFill="1" applyBorder="1" applyAlignment="1">
      <alignment horizontal="center" vertical="center" wrapText="1"/>
    </xf>
    <xf numFmtId="0" fontId="16" fillId="9" borderId="1" xfId="0" applyFont="1" applyFill="1" applyBorder="1" applyAlignment="1">
      <alignment horizontal="center" vertical="center" wrapText="1"/>
    </xf>
    <xf numFmtId="0" fontId="16" fillId="10" borderId="1" xfId="0" applyFont="1" applyFill="1" applyBorder="1" applyAlignment="1">
      <alignment horizontal="center" vertical="center" wrapText="1"/>
    </xf>
    <xf numFmtId="0" fontId="0" fillId="6" borderId="1" xfId="0" applyFill="1" applyBorder="1"/>
    <xf numFmtId="0" fontId="4" fillId="0" borderId="0" xfId="0" applyFont="1"/>
    <xf numFmtId="0" fontId="0" fillId="7" borderId="1" xfId="0" applyFill="1" applyBorder="1"/>
    <xf numFmtId="0" fontId="0" fillId="8" borderId="1" xfId="0" applyFill="1" applyBorder="1"/>
    <xf numFmtId="0" fontId="0" fillId="9" borderId="1" xfId="0" applyFill="1" applyBorder="1"/>
    <xf numFmtId="0" fontId="0" fillId="10" borderId="1" xfId="0" applyFill="1" applyBorder="1"/>
    <xf numFmtId="0" fontId="4" fillId="6" borderId="0" xfId="0" applyFont="1" applyFill="1"/>
    <xf numFmtId="0" fontId="17" fillId="0" borderId="0" xfId="0" applyFont="1" applyAlignment="1">
      <alignment horizontal="center"/>
    </xf>
    <xf numFmtId="0" fontId="4" fillId="7" borderId="0" xfId="0" applyFont="1" applyFill="1"/>
    <xf numFmtId="0" fontId="4" fillId="8" borderId="0" xfId="0" applyFont="1" applyFill="1"/>
    <xf numFmtId="0" fontId="4" fillId="9" borderId="0" xfId="0" applyFont="1" applyFill="1"/>
    <xf numFmtId="0" fontId="4" fillId="10" borderId="0" xfId="0" applyFont="1" applyFill="1"/>
    <xf numFmtId="0" fontId="2" fillId="2" borderId="3" xfId="0" applyFont="1" applyFill="1" applyBorder="1" applyAlignment="1">
      <alignment horizontal="left" vertical="center" wrapText="1" indent="1"/>
    </xf>
    <xf numFmtId="0" fontId="4" fillId="0" borderId="2" xfId="0" applyFont="1" applyBorder="1" applyAlignment="1">
      <alignment vertical="top"/>
    </xf>
    <xf numFmtId="0" fontId="4" fillId="0" borderId="1" xfId="0" applyFont="1" applyBorder="1" applyAlignment="1">
      <alignment vertical="center" wrapText="1"/>
    </xf>
    <xf numFmtId="0" fontId="7" fillId="0" borderId="1" xfId="0" applyFont="1" applyBorder="1" applyAlignment="1">
      <alignment vertical="center" wrapText="1"/>
    </xf>
    <xf numFmtId="0" fontId="0" fillId="0" borderId="0" xfId="0" applyAlignment="1">
      <alignment vertical="center"/>
    </xf>
    <xf numFmtId="0" fontId="4" fillId="0" borderId="1" xfId="0" applyFont="1" applyBorder="1" applyAlignment="1">
      <alignment horizontal="left" vertical="center" wrapText="1"/>
    </xf>
    <xf numFmtId="0" fontId="7" fillId="0" borderId="1" xfId="0" applyFont="1" applyBorder="1" applyAlignment="1">
      <alignment horizontal="left" vertical="center" wrapText="1"/>
    </xf>
    <xf numFmtId="0" fontId="4" fillId="4" borderId="1" xfId="0" applyFont="1" applyFill="1" applyBorder="1" applyAlignment="1">
      <alignment horizontal="left" vertical="center" wrapText="1"/>
    </xf>
    <xf numFmtId="0" fontId="0" fillId="0" borderId="0" xfId="0" applyAlignment="1">
      <alignment horizontal="left" vertical="center"/>
    </xf>
    <xf numFmtId="0" fontId="4" fillId="4" borderId="1" xfId="0" applyFont="1" applyFill="1" applyBorder="1" applyAlignment="1">
      <alignment vertical="center" wrapText="1"/>
    </xf>
    <xf numFmtId="0" fontId="0" fillId="0" borderId="0" xfId="0" applyAlignment="1">
      <alignment horizontal="center"/>
    </xf>
    <xf numFmtId="0" fontId="10" fillId="0" borderId="1" xfId="0" applyFont="1" applyBorder="1" applyAlignment="1">
      <alignment vertical="center" wrapText="1"/>
    </xf>
    <xf numFmtId="0" fontId="4" fillId="0" borderId="0" xfId="0" applyFont="1" applyAlignment="1">
      <alignment vertical="top"/>
    </xf>
    <xf numFmtId="0" fontId="0" fillId="0" borderId="0" xfId="0" applyAlignment="1">
      <alignment vertical="center" wrapText="1"/>
    </xf>
    <xf numFmtId="0" fontId="10" fillId="0" borderId="1" xfId="0" applyFont="1" applyBorder="1" applyAlignment="1">
      <alignment horizontal="left" vertical="center" wrapText="1"/>
    </xf>
    <xf numFmtId="0" fontId="11" fillId="4" borderId="1" xfId="0" applyFont="1" applyFill="1" applyBorder="1" applyAlignment="1">
      <alignment horizontal="left" vertical="center" wrapText="1"/>
    </xf>
    <xf numFmtId="17" fontId="4" fillId="0" borderId="1" xfId="0" applyNumberFormat="1" applyFont="1" applyBorder="1" applyAlignment="1">
      <alignment horizontal="left" vertical="center" wrapText="1"/>
    </xf>
    <xf numFmtId="14" fontId="4" fillId="0" borderId="1" xfId="0" applyNumberFormat="1" applyFont="1" applyBorder="1" applyAlignment="1">
      <alignment horizontal="left" vertical="center" wrapText="1"/>
    </xf>
    <xf numFmtId="17" fontId="4" fillId="0" borderId="1" xfId="0" applyNumberFormat="1" applyFont="1" applyBorder="1" applyAlignment="1">
      <alignment horizontal="left" vertical="top" wrapText="1"/>
    </xf>
    <xf numFmtId="0" fontId="4" fillId="5" borderId="1" xfId="0" applyFont="1" applyFill="1" applyBorder="1" applyAlignment="1">
      <alignment horizontal="left" vertical="center" wrapText="1"/>
    </xf>
    <xf numFmtId="0" fontId="4" fillId="0" borderId="1" xfId="0" quotePrefix="1" applyFont="1" applyBorder="1" applyAlignment="1">
      <alignment vertical="top" wrapText="1"/>
    </xf>
    <xf numFmtId="0" fontId="4" fillId="0" borderId="1" xfId="0" quotePrefix="1" applyFont="1" applyBorder="1" applyAlignment="1">
      <alignment vertical="center" wrapText="1"/>
    </xf>
    <xf numFmtId="0" fontId="4" fillId="5" borderId="1" xfId="0" applyFont="1" applyFill="1" applyBorder="1" applyAlignment="1">
      <alignment vertical="center" wrapText="1"/>
    </xf>
    <xf numFmtId="0" fontId="12" fillId="2" borderId="0" xfId="0" applyFont="1" applyFill="1" applyAlignment="1">
      <alignment vertical="center" indent="1"/>
    </xf>
    <xf numFmtId="0" fontId="13" fillId="0" borderId="0" xfId="0" applyFont="1" applyAlignment="1">
      <alignment vertical="center" indent="1"/>
    </xf>
    <xf numFmtId="0" fontId="14" fillId="3" borderId="0" xfId="0" applyFont="1" applyFill="1" applyAlignment="1">
      <alignment horizontal="center" vertical="center" wrapText="1"/>
    </xf>
    <xf numFmtId="0" fontId="4" fillId="0" borderId="0" xfId="0" applyFont="1" applyAlignment="1">
      <alignment vertical="top" wrapText="1"/>
    </xf>
    <xf numFmtId="0" fontId="5" fillId="0" borderId="0" xfId="0" applyFont="1" applyAlignment="1">
      <alignment vertical="top" wrapText="1"/>
    </xf>
    <xf numFmtId="0" fontId="3" fillId="4" borderId="0" xfId="0" applyFont="1" applyFill="1" applyAlignment="1">
      <alignment vertical="center" indent="1"/>
    </xf>
    <xf numFmtId="0" fontId="1" fillId="2" borderId="0" xfId="0" applyFont="1" applyFill="1" applyAlignment="1">
      <alignment horizontal="left" vertical="center" indent="1"/>
    </xf>
    <xf numFmtId="0" fontId="2" fillId="3" borderId="0" xfId="0" applyFont="1" applyFill="1" applyAlignment="1">
      <alignment horizontal="left" vertical="center" indent="1"/>
    </xf>
    <xf numFmtId="0" fontId="7" fillId="0" borderId="0" xfId="0" applyFont="1" applyAlignment="1">
      <alignment vertical="top" wrapText="1"/>
    </xf>
    <xf numFmtId="0" fontId="7" fillId="0" borderId="0" xfId="0" applyFont="1"/>
  </cellXfs>
  <cellStyles count="1">
    <cellStyle name="Normal" xfId="0" builtinId="0"/>
  </cellStyles>
  <dxfs count="17">
    <dxf>
      <font>
        <sz val="9"/>
        <name val="Calibri"/>
        <charset val="1"/>
      </font>
      <fill>
        <patternFill>
          <bgColor rgb="FFDCE6F1"/>
        </patternFill>
      </fill>
    </dxf>
    <dxf>
      <font>
        <sz val="9"/>
        <name val="Calibri"/>
        <charset val="1"/>
      </font>
      <fill>
        <patternFill>
          <bgColor rgb="FFC6EFCE"/>
        </patternFill>
      </fill>
    </dxf>
    <dxf>
      <font>
        <sz val="9"/>
        <name val="Calibri"/>
        <charset val="1"/>
      </font>
      <fill>
        <patternFill>
          <bgColor rgb="FFFFE699"/>
        </patternFill>
      </fill>
    </dxf>
    <dxf>
      <font>
        <sz val="9"/>
        <name val="Calibri"/>
        <charset val="1"/>
      </font>
      <fill>
        <patternFill>
          <bgColor rgb="FFFFCFCF"/>
        </patternFill>
      </fill>
    </dxf>
    <dxf>
      <font>
        <b/>
        <sz val="10"/>
        <name val="Calibri"/>
        <charset val="1"/>
      </font>
      <fill>
        <patternFill>
          <bgColor rgb="FFFF7C80"/>
        </patternFill>
      </fill>
    </dxf>
    <dxf>
      <font>
        <b/>
        <sz val="10"/>
        <name val="Calibri"/>
        <charset val="1"/>
      </font>
      <fill>
        <patternFill>
          <bgColor rgb="FFF4B183"/>
        </patternFill>
      </fill>
    </dxf>
    <dxf>
      <font>
        <b/>
        <sz val="10"/>
        <name val="Calibri"/>
        <charset val="1"/>
      </font>
      <fill>
        <patternFill>
          <bgColor rgb="FFFFE699"/>
        </patternFill>
      </fill>
    </dxf>
    <dxf>
      <font>
        <b/>
        <sz val="10"/>
        <name val="Calibri"/>
        <charset val="1"/>
      </font>
      <fill>
        <patternFill>
          <bgColor rgb="FFA9D18E"/>
        </patternFill>
      </fill>
    </dxf>
    <dxf>
      <font>
        <b/>
        <sz val="10"/>
        <name val="Calibri"/>
        <charset val="1"/>
      </font>
      <fill>
        <patternFill>
          <bgColor rgb="FF9DC3E6"/>
        </patternFill>
      </fill>
    </dxf>
    <dxf>
      <font>
        <sz val="9"/>
        <color rgb="FF006100"/>
        <name val="Calibri"/>
        <charset val="1"/>
      </font>
      <fill>
        <patternFill>
          <bgColor rgb="FFC6EFCE"/>
        </patternFill>
      </fill>
    </dxf>
    <dxf>
      <font>
        <sz val="9"/>
        <color rgb="FF9C0006"/>
        <name val="Calibri"/>
        <charset val="1"/>
      </font>
      <fill>
        <patternFill>
          <bgColor rgb="FFFFCFCF"/>
        </patternFill>
      </fill>
    </dxf>
    <dxf>
      <font>
        <b/>
        <sz val="10"/>
        <color rgb="FF9C0006"/>
        <name val="Calibri"/>
        <charset val="1"/>
      </font>
      <fill>
        <patternFill>
          <bgColor rgb="FFFF7C80"/>
        </patternFill>
      </fill>
    </dxf>
    <dxf>
      <font>
        <b/>
        <sz val="10"/>
        <name val="Calibri"/>
        <charset val="1"/>
      </font>
      <fill>
        <patternFill>
          <bgColor rgb="FFFF7C80"/>
        </patternFill>
      </fill>
    </dxf>
    <dxf>
      <font>
        <b/>
        <sz val="10"/>
        <name val="Calibri"/>
        <charset val="1"/>
      </font>
      <fill>
        <patternFill>
          <bgColor rgb="FFF4B183"/>
        </patternFill>
      </fill>
    </dxf>
    <dxf>
      <font>
        <b/>
        <sz val="10"/>
        <name val="Calibri"/>
        <charset val="1"/>
      </font>
      <fill>
        <patternFill>
          <bgColor rgb="FFFFE699"/>
        </patternFill>
      </fill>
    </dxf>
    <dxf>
      <font>
        <b/>
        <sz val="10"/>
        <name val="Calibri"/>
        <charset val="1"/>
      </font>
      <fill>
        <patternFill>
          <bgColor rgb="FFA9D18E"/>
        </patternFill>
      </fill>
    </dxf>
    <dxf>
      <font>
        <b/>
        <sz val="10"/>
        <name val="Calibri"/>
        <charset val="1"/>
      </font>
      <fill>
        <patternFill>
          <bgColor rgb="FF9DC3E6"/>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DCE6F1"/>
      <rgbColor rgb="FF660066"/>
      <rgbColor rgb="FFFF7C80"/>
      <rgbColor rgb="FF0066CC"/>
      <rgbColor rgb="FFA9D18E"/>
      <rgbColor rgb="FF000080"/>
      <rgbColor rgb="FFFF00FF"/>
      <rgbColor rgb="FFFFFF00"/>
      <rgbColor rgb="FF00FFFF"/>
      <rgbColor rgb="FF800080"/>
      <rgbColor rgb="FF800000"/>
      <rgbColor rgb="FF008080"/>
      <rgbColor rgb="FF0000FF"/>
      <rgbColor rgb="FF00CCFF"/>
      <rgbColor rgb="FFCCFFFF"/>
      <rgbColor rgb="FFC6EFCE"/>
      <rgbColor rgb="FFFFE699"/>
      <rgbColor rgb="FF9DC3E6"/>
      <rgbColor rgb="FFF4B183"/>
      <rgbColor rgb="FFCC99FF"/>
      <rgbColor rgb="FFFFCFCF"/>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39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31"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0D60210-3CEE-4940-A0EC-99F140FBEC00}">
  <we:reference id="wa200009404" version="1.0.0.8" store="es-MX" storeType="OMEX"/>
  <we:alternateReferences>
    <we:reference id="WA200009404" version="1.0.0.8" store="WA200009404" storeType="OMEX"/>
  </we:alternateReferences>
  <we:properties>
    <we:property name="claude.fileId" value="&quot;facfea8e-dcee-4ade-bccc-be260434d330&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36"/>
  <sheetViews>
    <sheetView showGridLines="0" zoomScaleNormal="100" workbookViewId="0"/>
  </sheetViews>
  <sheetFormatPr baseColWidth="10" defaultColWidth="8.6640625" defaultRowHeight="14.4" x14ac:dyDescent="0.3"/>
  <cols>
    <col min="1" max="1" width="3" customWidth="1"/>
    <col min="2" max="2" width="34" customWidth="1"/>
    <col min="3" max="3" width="90" customWidth="1"/>
  </cols>
  <sheetData>
    <row r="2" spans="2:3" ht="30" customHeight="1" x14ac:dyDescent="0.3">
      <c r="B2" s="76" t="s">
        <v>0</v>
      </c>
      <c r="C2" s="76"/>
    </row>
    <row r="3" spans="2:3" ht="21.75" customHeight="1" x14ac:dyDescent="0.3">
      <c r="B3" s="77" t="s">
        <v>1</v>
      </c>
      <c r="C3" s="77"/>
    </row>
    <row r="5" spans="2:3" ht="19.5" customHeight="1" x14ac:dyDescent="0.3">
      <c r="B5" s="75" t="s">
        <v>2</v>
      </c>
      <c r="C5" s="75"/>
    </row>
    <row r="6" spans="2:3" ht="90" customHeight="1" x14ac:dyDescent="0.3">
      <c r="B6" s="73" t="s">
        <v>3</v>
      </c>
      <c r="C6" s="73"/>
    </row>
    <row r="8" spans="2:3" ht="19.5" customHeight="1" x14ac:dyDescent="0.3">
      <c r="B8" s="75" t="s">
        <v>4</v>
      </c>
      <c r="C8" s="75"/>
    </row>
    <row r="9" spans="2:3" ht="90" customHeight="1" x14ac:dyDescent="0.3">
      <c r="B9" s="73" t="s">
        <v>5</v>
      </c>
      <c r="C9" s="73"/>
    </row>
    <row r="11" spans="2:3" ht="19.5" customHeight="1" x14ac:dyDescent="0.3">
      <c r="B11" s="75" t="s">
        <v>6</v>
      </c>
      <c r="C11" s="75"/>
    </row>
    <row r="12" spans="2:3" ht="60" customHeight="1" x14ac:dyDescent="0.3">
      <c r="B12" s="73" t="s">
        <v>7</v>
      </c>
      <c r="C12" s="73"/>
    </row>
    <row r="14" spans="2:3" ht="19.5" customHeight="1" x14ac:dyDescent="0.3">
      <c r="B14" s="75" t="s">
        <v>8</v>
      </c>
      <c r="C14" s="75"/>
    </row>
    <row r="15" spans="2:3" ht="15" customHeight="1" x14ac:dyDescent="0.3">
      <c r="B15" s="74" t="s">
        <v>9</v>
      </c>
      <c r="C15" s="74"/>
    </row>
    <row r="16" spans="2:3" ht="48" customHeight="1" x14ac:dyDescent="0.3">
      <c r="B16" s="73" t="s">
        <v>10</v>
      </c>
      <c r="C16" s="73"/>
    </row>
    <row r="17" spans="2:3" ht="15" customHeight="1" x14ac:dyDescent="0.3">
      <c r="B17" s="74" t="s">
        <v>11</v>
      </c>
      <c r="C17" s="74"/>
    </row>
    <row r="18" spans="2:3" ht="48" customHeight="1" x14ac:dyDescent="0.3">
      <c r="B18" s="73" t="s">
        <v>12</v>
      </c>
      <c r="C18" s="73"/>
    </row>
    <row r="19" spans="2:3" ht="15" customHeight="1" x14ac:dyDescent="0.3">
      <c r="B19" s="74" t="s">
        <v>13</v>
      </c>
      <c r="C19" s="74"/>
    </row>
    <row r="20" spans="2:3" ht="48" customHeight="1" x14ac:dyDescent="0.3">
      <c r="B20" s="73" t="s">
        <v>14</v>
      </c>
      <c r="C20" s="73"/>
    </row>
    <row r="21" spans="2:3" ht="15" customHeight="1" x14ac:dyDescent="0.3">
      <c r="B21" s="74" t="s">
        <v>15</v>
      </c>
      <c r="C21" s="74"/>
    </row>
    <row r="22" spans="2:3" ht="48" customHeight="1" x14ac:dyDescent="0.3">
      <c r="B22" s="73" t="s">
        <v>16</v>
      </c>
      <c r="C22" s="73"/>
    </row>
    <row r="24" spans="2:3" ht="19.5" customHeight="1" x14ac:dyDescent="0.3">
      <c r="B24" s="75" t="s">
        <v>17</v>
      </c>
      <c r="C24" s="75"/>
    </row>
    <row r="25" spans="2:3" ht="33.75" customHeight="1" x14ac:dyDescent="0.3">
      <c r="B25" s="4" t="s">
        <v>18</v>
      </c>
      <c r="C25" s="2" t="s">
        <v>19</v>
      </c>
    </row>
    <row r="26" spans="2:3" ht="33.75" customHeight="1" x14ac:dyDescent="0.3">
      <c r="B26" s="4" t="s">
        <v>20</v>
      </c>
      <c r="C26" s="2" t="s">
        <v>21</v>
      </c>
    </row>
    <row r="27" spans="2:3" ht="33.75" customHeight="1" x14ac:dyDescent="0.3">
      <c r="B27" s="4" t="s">
        <v>22</v>
      </c>
      <c r="C27" s="2" t="s">
        <v>23</v>
      </c>
    </row>
    <row r="28" spans="2:3" ht="33.75" customHeight="1" x14ac:dyDescent="0.3">
      <c r="B28" s="4" t="s">
        <v>24</v>
      </c>
      <c r="C28" s="2" t="s">
        <v>25</v>
      </c>
    </row>
    <row r="30" spans="2:3" ht="19.5" customHeight="1" x14ac:dyDescent="0.3">
      <c r="B30" s="75" t="s">
        <v>26</v>
      </c>
      <c r="C30" s="75"/>
    </row>
    <row r="31" spans="2:3" x14ac:dyDescent="0.3">
      <c r="B31" s="5" t="s">
        <v>27</v>
      </c>
      <c r="C31" s="2" t="s">
        <v>28</v>
      </c>
    </row>
    <row r="32" spans="2:3" x14ac:dyDescent="0.3">
      <c r="B32" s="6" t="s">
        <v>27</v>
      </c>
      <c r="C32" s="2" t="s">
        <v>29</v>
      </c>
    </row>
    <row r="33" spans="2:3" x14ac:dyDescent="0.3">
      <c r="B33" s="1" t="s">
        <v>30</v>
      </c>
      <c r="C33" s="2" t="s">
        <v>31</v>
      </c>
    </row>
    <row r="35" spans="2:3" ht="19.5" customHeight="1" x14ac:dyDescent="0.3">
      <c r="B35" s="75" t="s">
        <v>32</v>
      </c>
      <c r="C35" s="75"/>
    </row>
    <row r="36" spans="2:3" ht="90" customHeight="1" x14ac:dyDescent="0.3">
      <c r="B36" s="73" t="s">
        <v>33</v>
      </c>
      <c r="C36" s="73"/>
    </row>
  </sheetData>
  <mergeCells count="21">
    <mergeCell ref="B2:C2"/>
    <mergeCell ref="B3:C3"/>
    <mergeCell ref="B5:C5"/>
    <mergeCell ref="B6:C6"/>
    <mergeCell ref="B8:C8"/>
    <mergeCell ref="B9:C9"/>
    <mergeCell ref="B11:C11"/>
    <mergeCell ref="B12:C12"/>
    <mergeCell ref="B14:C14"/>
    <mergeCell ref="B15:C15"/>
    <mergeCell ref="B16:C16"/>
    <mergeCell ref="B17:C17"/>
    <mergeCell ref="B18:C18"/>
    <mergeCell ref="B19:C19"/>
    <mergeCell ref="B20:C20"/>
    <mergeCell ref="B36:C36"/>
    <mergeCell ref="B21:C21"/>
    <mergeCell ref="B22:C22"/>
    <mergeCell ref="B24:C24"/>
    <mergeCell ref="B30:C30"/>
    <mergeCell ref="B35:C35"/>
  </mergeCells>
  <pageMargins left="0.75" right="0.75" top="1" bottom="1" header="0.511811023622047" footer="0.511811023622047"/>
  <pageSetup paperSize="9" orientation="portrait" horizontalDpi="300" verticalDpi="300"/>
  <headerFooter>
    <oddHeader>&amp;R&amp;"Aptos"&amp;10&amp;K000000 Uso interno&amp;1#_x000D_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07"/>
  <sheetViews>
    <sheetView showGridLines="0" topLeftCell="A18" zoomScaleNormal="100" workbookViewId="0">
      <selection activeCell="A12" sqref="A12"/>
    </sheetView>
  </sheetViews>
  <sheetFormatPr baseColWidth="10" defaultColWidth="8.6640625" defaultRowHeight="14.4" x14ac:dyDescent="0.3"/>
  <cols>
    <col min="1" max="1" width="32" customWidth="1"/>
    <col min="2" max="2" width="95" customWidth="1"/>
    <col min="3" max="3" width="46" customWidth="1"/>
    <col min="4" max="4" width="14" customWidth="1"/>
    <col min="5" max="5" width="12" customWidth="1"/>
  </cols>
  <sheetData>
    <row r="1" spans="1:1" ht="21.75" customHeight="1" x14ac:dyDescent="0.35">
      <c r="A1" s="7" t="s">
        <v>34</v>
      </c>
    </row>
    <row r="3" spans="1:1" x14ac:dyDescent="0.3">
      <c r="A3" s="8" t="s">
        <v>35</v>
      </c>
    </row>
    <row r="4" spans="1:1" ht="18" customHeight="1" x14ac:dyDescent="0.3">
      <c r="A4" s="47" t="s">
        <v>36</v>
      </c>
    </row>
    <row r="5" spans="1:1" x14ac:dyDescent="0.3">
      <c r="A5" s="48" t="s">
        <v>425</v>
      </c>
    </row>
    <row r="6" spans="1:1" x14ac:dyDescent="0.3">
      <c r="A6" s="48" t="s">
        <v>37</v>
      </c>
    </row>
    <row r="7" spans="1:1" x14ac:dyDescent="0.3">
      <c r="A7" s="48" t="s">
        <v>426</v>
      </c>
    </row>
    <row r="8" spans="1:1" x14ac:dyDescent="0.3">
      <c r="A8" s="48" t="s">
        <v>427</v>
      </c>
    </row>
    <row r="9" spans="1:1" x14ac:dyDescent="0.3">
      <c r="A9" s="48" t="s">
        <v>428</v>
      </c>
    </row>
    <row r="10" spans="1:1" x14ac:dyDescent="0.3">
      <c r="A10" s="48" t="s">
        <v>429</v>
      </c>
    </row>
    <row r="11" spans="1:1" x14ac:dyDescent="0.3">
      <c r="A11" s="48" t="s">
        <v>430</v>
      </c>
    </row>
    <row r="12" spans="1:1" x14ac:dyDescent="0.3">
      <c r="A12" s="48" t="s">
        <v>538</v>
      </c>
    </row>
    <row r="13" spans="1:1" x14ac:dyDescent="0.3">
      <c r="A13" s="48" t="s">
        <v>431</v>
      </c>
    </row>
    <row r="14" spans="1:1" x14ac:dyDescent="0.3">
      <c r="A14" s="48" t="s">
        <v>432</v>
      </c>
    </row>
    <row r="15" spans="1:1" x14ac:dyDescent="0.3">
      <c r="A15" s="48" t="s">
        <v>433</v>
      </c>
    </row>
    <row r="17" spans="1:2" x14ac:dyDescent="0.3">
      <c r="A17" s="8" t="s">
        <v>38</v>
      </c>
    </row>
    <row r="18" spans="1:2" ht="18" customHeight="1" x14ac:dyDescent="0.3">
      <c r="A18" s="9" t="s">
        <v>39</v>
      </c>
      <c r="B18" s="9" t="s">
        <v>40</v>
      </c>
    </row>
    <row r="19" spans="1:2" ht="27.6" x14ac:dyDescent="0.3">
      <c r="A19" s="10" t="s">
        <v>41</v>
      </c>
      <c r="B19" s="11" t="s">
        <v>42</v>
      </c>
    </row>
    <row r="20" spans="1:2" ht="27.6" x14ac:dyDescent="0.3">
      <c r="A20" s="10" t="s">
        <v>43</v>
      </c>
      <c r="B20" s="11" t="s">
        <v>44</v>
      </c>
    </row>
    <row r="21" spans="1:2" ht="69" x14ac:dyDescent="0.3">
      <c r="A21" s="10" t="s">
        <v>435</v>
      </c>
      <c r="B21" s="11" t="s">
        <v>434</v>
      </c>
    </row>
    <row r="22" spans="1:2" x14ac:dyDescent="0.3">
      <c r="A22" s="10" t="s">
        <v>46</v>
      </c>
      <c r="B22" s="11" t="s">
        <v>47</v>
      </c>
    </row>
    <row r="24" spans="1:2" x14ac:dyDescent="0.3">
      <c r="A24" s="8" t="s">
        <v>48</v>
      </c>
    </row>
    <row r="25" spans="1:2" ht="18" customHeight="1" x14ac:dyDescent="0.3">
      <c r="A25" s="9" t="s">
        <v>49</v>
      </c>
      <c r="B25" s="9" t="s">
        <v>40</v>
      </c>
    </row>
    <row r="26" spans="1:2" x14ac:dyDescent="0.3">
      <c r="A26" s="10" t="s">
        <v>50</v>
      </c>
      <c r="B26" s="11" t="s">
        <v>51</v>
      </c>
    </row>
    <row r="27" spans="1:2" x14ac:dyDescent="0.3">
      <c r="A27" s="10" t="s">
        <v>52</v>
      </c>
      <c r="B27" s="11" t="s">
        <v>53</v>
      </c>
    </row>
    <row r="28" spans="1:2" x14ac:dyDescent="0.3">
      <c r="A28" s="10" t="s">
        <v>54</v>
      </c>
      <c r="B28" s="11" t="s">
        <v>55</v>
      </c>
    </row>
    <row r="29" spans="1:2" x14ac:dyDescent="0.3">
      <c r="A29" s="10" t="s">
        <v>56</v>
      </c>
      <c r="B29" s="11" t="s">
        <v>57</v>
      </c>
    </row>
    <row r="30" spans="1:2" x14ac:dyDescent="0.3">
      <c r="A30" s="10" t="s">
        <v>58</v>
      </c>
      <c r="B30" s="11" t="s">
        <v>59</v>
      </c>
    </row>
    <row r="31" spans="1:2" x14ac:dyDescent="0.3">
      <c r="A31" s="10" t="s">
        <v>60</v>
      </c>
      <c r="B31" s="11" t="s">
        <v>61</v>
      </c>
    </row>
    <row r="32" spans="1:2" x14ac:dyDescent="0.3">
      <c r="A32" s="10" t="s">
        <v>62</v>
      </c>
      <c r="B32" s="11" t="s">
        <v>63</v>
      </c>
    </row>
    <row r="34" spans="1:5" x14ac:dyDescent="0.3">
      <c r="A34" s="8" t="s">
        <v>64</v>
      </c>
    </row>
    <row r="35" spans="1:5" ht="18" customHeight="1" x14ac:dyDescent="0.3">
      <c r="A35" s="9" t="s">
        <v>65</v>
      </c>
      <c r="B35" s="9" t="s">
        <v>66</v>
      </c>
      <c r="C35" s="9" t="s">
        <v>67</v>
      </c>
    </row>
    <row r="36" spans="1:5" ht="27.6" x14ac:dyDescent="0.3">
      <c r="A36" s="10" t="s">
        <v>68</v>
      </c>
      <c r="B36" s="11" t="s">
        <v>69</v>
      </c>
      <c r="C36" s="11" t="s">
        <v>70</v>
      </c>
    </row>
    <row r="37" spans="1:5" x14ac:dyDescent="0.3">
      <c r="A37" s="10" t="s">
        <v>71</v>
      </c>
      <c r="B37" s="11" t="s">
        <v>72</v>
      </c>
      <c r="C37" s="11" t="s">
        <v>73</v>
      </c>
    </row>
    <row r="38" spans="1:5" ht="27.6" x14ac:dyDescent="0.3">
      <c r="A38" s="10" t="s">
        <v>74</v>
      </c>
      <c r="B38" s="11" t="s">
        <v>75</v>
      </c>
      <c r="C38" s="11" t="s">
        <v>76</v>
      </c>
    </row>
    <row r="39" spans="1:5" ht="27.6" x14ac:dyDescent="0.3">
      <c r="A39" s="10" t="s">
        <v>77</v>
      </c>
      <c r="B39" s="11" t="s">
        <v>78</v>
      </c>
      <c r="C39" s="11" t="s">
        <v>79</v>
      </c>
    </row>
    <row r="40" spans="1:5" x14ac:dyDescent="0.3">
      <c r="A40" s="10" t="s">
        <v>80</v>
      </c>
      <c r="B40" s="11" t="s">
        <v>81</v>
      </c>
      <c r="C40" s="11" t="s">
        <v>82</v>
      </c>
    </row>
    <row r="41" spans="1:5" ht="27.6" x14ac:dyDescent="0.3">
      <c r="A41" s="10" t="s">
        <v>83</v>
      </c>
      <c r="B41" s="11" t="s">
        <v>84</v>
      </c>
      <c r="C41" s="11" t="s">
        <v>85</v>
      </c>
    </row>
    <row r="42" spans="1:5" ht="27.6" x14ac:dyDescent="0.3">
      <c r="A42" s="10" t="s">
        <v>86</v>
      </c>
      <c r="B42" s="11" t="s">
        <v>87</v>
      </c>
      <c r="C42" s="11" t="s">
        <v>88</v>
      </c>
    </row>
    <row r="43" spans="1:5" ht="27.6" x14ac:dyDescent="0.3">
      <c r="A43" s="10" t="s">
        <v>89</v>
      </c>
      <c r="B43" s="11" t="s">
        <v>90</v>
      </c>
      <c r="C43" s="11" t="s">
        <v>91</v>
      </c>
    </row>
    <row r="45" spans="1:5" x14ac:dyDescent="0.3">
      <c r="A45" s="8" t="s">
        <v>92</v>
      </c>
    </row>
    <row r="46" spans="1:5" ht="61.5" customHeight="1" x14ac:dyDescent="0.3">
      <c r="A46" s="78" t="s">
        <v>93</v>
      </c>
      <c r="B46" s="78"/>
      <c r="C46" s="78"/>
      <c r="D46" s="78"/>
      <c r="E46" s="78"/>
    </row>
    <row r="48" spans="1:5" ht="18" customHeight="1" x14ac:dyDescent="0.3">
      <c r="A48" s="9" t="s">
        <v>94</v>
      </c>
      <c r="B48" s="9" t="s">
        <v>95</v>
      </c>
      <c r="C48" s="9" t="s">
        <v>96</v>
      </c>
      <c r="D48" s="9" t="s">
        <v>97</v>
      </c>
      <c r="E48" s="9" t="s">
        <v>98</v>
      </c>
    </row>
    <row r="49" spans="1:5" x14ac:dyDescent="0.3">
      <c r="A49" s="10" t="s">
        <v>99</v>
      </c>
      <c r="B49" s="11" t="s">
        <v>100</v>
      </c>
      <c r="C49" s="10" t="s">
        <v>101</v>
      </c>
      <c r="D49" s="10" t="s">
        <v>102</v>
      </c>
      <c r="E49" s="10"/>
    </row>
    <row r="50" spans="1:5" x14ac:dyDescent="0.3">
      <c r="A50" s="10" t="s">
        <v>103</v>
      </c>
      <c r="B50" s="11" t="s">
        <v>104</v>
      </c>
      <c r="C50" s="10" t="s">
        <v>101</v>
      </c>
      <c r="D50" s="10" t="s">
        <v>102</v>
      </c>
      <c r="E50" s="10"/>
    </row>
    <row r="51" spans="1:5" x14ac:dyDescent="0.3">
      <c r="A51" s="10" t="s">
        <v>105</v>
      </c>
      <c r="B51" s="11" t="s">
        <v>106</v>
      </c>
      <c r="C51" s="10" t="s">
        <v>101</v>
      </c>
      <c r="D51" s="10" t="s">
        <v>102</v>
      </c>
      <c r="E51" s="10"/>
    </row>
    <row r="52" spans="1:5" x14ac:dyDescent="0.3">
      <c r="A52" s="10" t="s">
        <v>107</v>
      </c>
      <c r="B52" s="11" t="s">
        <v>108</v>
      </c>
      <c r="C52" s="10" t="s">
        <v>101</v>
      </c>
      <c r="D52" s="10" t="s">
        <v>102</v>
      </c>
      <c r="E52" s="10"/>
    </row>
    <row r="53" spans="1:5" x14ac:dyDescent="0.3">
      <c r="A53" s="10" t="s">
        <v>109</v>
      </c>
      <c r="B53" s="11" t="s">
        <v>110</v>
      </c>
      <c r="C53" s="10" t="s">
        <v>101</v>
      </c>
      <c r="D53" s="10" t="s">
        <v>102</v>
      </c>
      <c r="E53" s="10"/>
    </row>
    <row r="54" spans="1:5" x14ac:dyDescent="0.3">
      <c r="A54" s="10" t="s">
        <v>111</v>
      </c>
      <c r="B54" s="11" t="s">
        <v>112</v>
      </c>
      <c r="C54" s="10" t="s">
        <v>101</v>
      </c>
      <c r="D54" s="10" t="s">
        <v>102</v>
      </c>
      <c r="E54" s="10"/>
    </row>
    <row r="55" spans="1:5" x14ac:dyDescent="0.3">
      <c r="A55" s="10" t="s">
        <v>113</v>
      </c>
      <c r="B55" s="11" t="s">
        <v>114</v>
      </c>
      <c r="C55" s="10" t="s">
        <v>115</v>
      </c>
      <c r="D55" s="10" t="s">
        <v>116</v>
      </c>
      <c r="E55" s="10"/>
    </row>
    <row r="56" spans="1:5" x14ac:dyDescent="0.3">
      <c r="A56" s="10" t="s">
        <v>117</v>
      </c>
      <c r="B56" s="11" t="s">
        <v>118</v>
      </c>
      <c r="C56" s="10" t="s">
        <v>115</v>
      </c>
      <c r="D56" s="10" t="s">
        <v>116</v>
      </c>
      <c r="E56" s="10"/>
    </row>
    <row r="57" spans="1:5" x14ac:dyDescent="0.3">
      <c r="A57" s="10" t="s">
        <v>119</v>
      </c>
      <c r="B57" s="11" t="s">
        <v>120</v>
      </c>
      <c r="C57" s="10" t="s">
        <v>115</v>
      </c>
      <c r="D57" s="10" t="s">
        <v>116</v>
      </c>
      <c r="E57" s="10"/>
    </row>
    <row r="58" spans="1:5" x14ac:dyDescent="0.3">
      <c r="A58" s="10" t="s">
        <v>121</v>
      </c>
      <c r="B58" s="11" t="s">
        <v>122</v>
      </c>
      <c r="C58" s="10" t="s">
        <v>115</v>
      </c>
      <c r="D58" s="10" t="s">
        <v>116</v>
      </c>
      <c r="E58" s="10"/>
    </row>
    <row r="59" spans="1:5" x14ac:dyDescent="0.3">
      <c r="A59" s="10" t="s">
        <v>123</v>
      </c>
      <c r="B59" s="11" t="s">
        <v>124</v>
      </c>
      <c r="C59" s="10" t="s">
        <v>115</v>
      </c>
      <c r="D59" s="10" t="s">
        <v>116</v>
      </c>
      <c r="E59" s="10"/>
    </row>
    <row r="60" spans="1:5" x14ac:dyDescent="0.3">
      <c r="A60" s="10" t="s">
        <v>125</v>
      </c>
      <c r="B60" s="11" t="s">
        <v>126</v>
      </c>
      <c r="C60" s="10" t="s">
        <v>115</v>
      </c>
      <c r="D60" s="10" t="s">
        <v>116</v>
      </c>
      <c r="E60" s="10"/>
    </row>
    <row r="61" spans="1:5" x14ac:dyDescent="0.3">
      <c r="A61" s="12" t="s">
        <v>127</v>
      </c>
      <c r="B61" s="13" t="s">
        <v>128</v>
      </c>
      <c r="C61" s="12" t="s">
        <v>129</v>
      </c>
      <c r="D61" s="12" t="s">
        <v>130</v>
      </c>
      <c r="E61" s="12" t="s">
        <v>131</v>
      </c>
    </row>
    <row r="62" spans="1:5" x14ac:dyDescent="0.3">
      <c r="A62" s="12" t="s">
        <v>132</v>
      </c>
      <c r="B62" s="13" t="s">
        <v>133</v>
      </c>
      <c r="C62" s="12" t="s">
        <v>129</v>
      </c>
      <c r="D62" s="12" t="s">
        <v>130</v>
      </c>
      <c r="E62" s="12" t="s">
        <v>131</v>
      </c>
    </row>
    <row r="63" spans="1:5" x14ac:dyDescent="0.3">
      <c r="A63" s="12" t="s">
        <v>134</v>
      </c>
      <c r="B63" s="13" t="s">
        <v>135</v>
      </c>
      <c r="C63" s="12" t="s">
        <v>129</v>
      </c>
      <c r="D63" s="12" t="s">
        <v>102</v>
      </c>
      <c r="E63" s="12" t="s">
        <v>131</v>
      </c>
    </row>
    <row r="64" spans="1:5" x14ac:dyDescent="0.3">
      <c r="A64" s="12" t="s">
        <v>136</v>
      </c>
      <c r="B64" s="13" t="s">
        <v>137</v>
      </c>
      <c r="C64" s="12" t="s">
        <v>129</v>
      </c>
      <c r="D64" s="12" t="s">
        <v>102</v>
      </c>
      <c r="E64" s="12" t="s">
        <v>131</v>
      </c>
    </row>
    <row r="65" spans="1:5" x14ac:dyDescent="0.3">
      <c r="A65" s="12" t="s">
        <v>138</v>
      </c>
      <c r="B65" s="13" t="s">
        <v>139</v>
      </c>
      <c r="C65" s="12" t="s">
        <v>129</v>
      </c>
      <c r="D65" s="12" t="s">
        <v>130</v>
      </c>
      <c r="E65" s="12" t="s">
        <v>131</v>
      </c>
    </row>
    <row r="66" spans="1:5" x14ac:dyDescent="0.3">
      <c r="A66" s="12" t="s">
        <v>140</v>
      </c>
      <c r="B66" s="13" t="s">
        <v>141</v>
      </c>
      <c r="C66" s="12" t="s">
        <v>129</v>
      </c>
      <c r="D66" s="12" t="s">
        <v>102</v>
      </c>
      <c r="E66" s="12" t="s">
        <v>131</v>
      </c>
    </row>
    <row r="67" spans="1:5" x14ac:dyDescent="0.3">
      <c r="A67" s="12" t="s">
        <v>142</v>
      </c>
      <c r="B67" s="13" t="s">
        <v>143</v>
      </c>
      <c r="C67" s="12" t="s">
        <v>129</v>
      </c>
      <c r="D67" s="12" t="s">
        <v>102</v>
      </c>
      <c r="E67" s="12" t="s">
        <v>131</v>
      </c>
    </row>
    <row r="68" spans="1:5" x14ac:dyDescent="0.3">
      <c r="A68" s="12" t="s">
        <v>144</v>
      </c>
      <c r="B68" s="13" t="s">
        <v>145</v>
      </c>
      <c r="C68" s="12" t="s">
        <v>129</v>
      </c>
      <c r="D68" s="12" t="s">
        <v>102</v>
      </c>
      <c r="E68" s="12" t="s">
        <v>131</v>
      </c>
    </row>
    <row r="69" spans="1:5" x14ac:dyDescent="0.3">
      <c r="A69" s="12" t="s">
        <v>146</v>
      </c>
      <c r="B69" s="13" t="s">
        <v>147</v>
      </c>
      <c r="C69" s="12" t="s">
        <v>148</v>
      </c>
      <c r="D69" s="12" t="s">
        <v>149</v>
      </c>
      <c r="E69" s="12" t="s">
        <v>131</v>
      </c>
    </row>
    <row r="70" spans="1:5" x14ac:dyDescent="0.3">
      <c r="A70" s="12" t="s">
        <v>150</v>
      </c>
      <c r="B70" s="13" t="s">
        <v>151</v>
      </c>
      <c r="C70" s="12" t="s">
        <v>148</v>
      </c>
      <c r="D70" s="12" t="s">
        <v>130</v>
      </c>
      <c r="E70" s="12" t="s">
        <v>131</v>
      </c>
    </row>
    <row r="71" spans="1:5" x14ac:dyDescent="0.3">
      <c r="A71" s="12" t="s">
        <v>152</v>
      </c>
      <c r="B71" s="13" t="s">
        <v>153</v>
      </c>
      <c r="C71" s="12" t="s">
        <v>148</v>
      </c>
      <c r="D71" s="12" t="s">
        <v>130</v>
      </c>
      <c r="E71" s="12" t="s">
        <v>131</v>
      </c>
    </row>
    <row r="72" spans="1:5" x14ac:dyDescent="0.3">
      <c r="A72" s="10" t="s">
        <v>154</v>
      </c>
      <c r="B72" s="11" t="s">
        <v>155</v>
      </c>
      <c r="C72" s="10" t="s">
        <v>156</v>
      </c>
      <c r="D72" s="10" t="s">
        <v>157</v>
      </c>
      <c r="E72" s="10"/>
    </row>
    <row r="73" spans="1:5" x14ac:dyDescent="0.3">
      <c r="A73" s="10" t="s">
        <v>158</v>
      </c>
      <c r="B73" s="11" t="s">
        <v>159</v>
      </c>
      <c r="C73" s="10" t="s">
        <v>156</v>
      </c>
      <c r="D73" s="10" t="s">
        <v>157</v>
      </c>
      <c r="E73" s="10"/>
    </row>
    <row r="74" spans="1:5" x14ac:dyDescent="0.3">
      <c r="A74" s="10" t="s">
        <v>160</v>
      </c>
      <c r="B74" s="11" t="s">
        <v>161</v>
      </c>
      <c r="C74" s="10" t="s">
        <v>156</v>
      </c>
      <c r="D74" s="10" t="s">
        <v>157</v>
      </c>
      <c r="E74" s="10"/>
    </row>
    <row r="75" spans="1:5" x14ac:dyDescent="0.3">
      <c r="A75" s="10" t="s">
        <v>162</v>
      </c>
      <c r="B75" s="11" t="s">
        <v>163</v>
      </c>
      <c r="C75" s="10" t="s">
        <v>156</v>
      </c>
      <c r="D75" s="10" t="s">
        <v>157</v>
      </c>
      <c r="E75" s="10"/>
    </row>
    <row r="76" spans="1:5" x14ac:dyDescent="0.3">
      <c r="A76" s="10" t="s">
        <v>164</v>
      </c>
      <c r="B76" s="11" t="s">
        <v>165</v>
      </c>
      <c r="C76" s="10" t="s">
        <v>156</v>
      </c>
      <c r="D76" s="10" t="s">
        <v>157</v>
      </c>
      <c r="E76" s="10"/>
    </row>
    <row r="77" spans="1:5" x14ac:dyDescent="0.3">
      <c r="A77" s="10" t="s">
        <v>166</v>
      </c>
      <c r="B77" s="11" t="s">
        <v>167</v>
      </c>
      <c r="C77" s="10" t="s">
        <v>156</v>
      </c>
      <c r="D77" s="10" t="s">
        <v>157</v>
      </c>
      <c r="E77" s="10"/>
    </row>
    <row r="78" spans="1:5" x14ac:dyDescent="0.3">
      <c r="A78" s="10" t="s">
        <v>168</v>
      </c>
      <c r="B78" s="11" t="s">
        <v>169</v>
      </c>
      <c r="C78" s="10" t="s">
        <v>156</v>
      </c>
      <c r="D78" s="10" t="s">
        <v>157</v>
      </c>
      <c r="E78" s="10"/>
    </row>
    <row r="79" spans="1:5" x14ac:dyDescent="0.3">
      <c r="A79" s="10" t="s">
        <v>170</v>
      </c>
      <c r="B79" s="11" t="s">
        <v>171</v>
      </c>
      <c r="C79" s="10" t="s">
        <v>156</v>
      </c>
      <c r="D79" s="10" t="s">
        <v>157</v>
      </c>
      <c r="E79" s="10"/>
    </row>
    <row r="80" spans="1:5" x14ac:dyDescent="0.3">
      <c r="A80" s="10" t="s">
        <v>172</v>
      </c>
      <c r="B80" s="11" t="s">
        <v>173</v>
      </c>
      <c r="C80" s="10" t="s">
        <v>156</v>
      </c>
      <c r="D80" s="10" t="s">
        <v>157</v>
      </c>
      <c r="E80" s="10"/>
    </row>
    <row r="81" spans="1:5" x14ac:dyDescent="0.3">
      <c r="A81" s="10" t="s">
        <v>174</v>
      </c>
      <c r="B81" s="11" t="s">
        <v>175</v>
      </c>
      <c r="C81" s="10" t="s">
        <v>156</v>
      </c>
      <c r="D81" s="10" t="s">
        <v>130</v>
      </c>
      <c r="E81" s="10"/>
    </row>
    <row r="82" spans="1:5" x14ac:dyDescent="0.3">
      <c r="A82" s="10" t="s">
        <v>176</v>
      </c>
      <c r="B82" s="11" t="s">
        <v>177</v>
      </c>
      <c r="C82" s="10" t="s">
        <v>156</v>
      </c>
      <c r="D82" s="10" t="s">
        <v>130</v>
      </c>
      <c r="E82" s="10"/>
    </row>
    <row r="83" spans="1:5" x14ac:dyDescent="0.3">
      <c r="A83" s="10" t="s">
        <v>178</v>
      </c>
      <c r="B83" s="11" t="s">
        <v>179</v>
      </c>
      <c r="C83" s="10" t="s">
        <v>156</v>
      </c>
      <c r="D83" s="10" t="s">
        <v>157</v>
      </c>
      <c r="E83" s="10"/>
    </row>
    <row r="84" spans="1:5" x14ac:dyDescent="0.3">
      <c r="A84" s="10" t="s">
        <v>180</v>
      </c>
      <c r="B84" s="11" t="s">
        <v>181</v>
      </c>
      <c r="C84" s="10" t="s">
        <v>156</v>
      </c>
      <c r="D84" s="10" t="s">
        <v>130</v>
      </c>
      <c r="E84" s="10"/>
    </row>
    <row r="85" spans="1:5" x14ac:dyDescent="0.3">
      <c r="A85" s="10" t="s">
        <v>182</v>
      </c>
      <c r="B85" s="11" t="s">
        <v>183</v>
      </c>
      <c r="C85" s="10" t="s">
        <v>156</v>
      </c>
      <c r="D85" s="10" t="s">
        <v>157</v>
      </c>
      <c r="E85" s="10"/>
    </row>
    <row r="86" spans="1:5" x14ac:dyDescent="0.3">
      <c r="A86" s="10" t="s">
        <v>184</v>
      </c>
      <c r="B86" s="11" t="s">
        <v>185</v>
      </c>
      <c r="C86" s="10" t="s">
        <v>156</v>
      </c>
      <c r="D86" s="10" t="s">
        <v>157</v>
      </c>
      <c r="E86" s="10"/>
    </row>
    <row r="87" spans="1:5" x14ac:dyDescent="0.3">
      <c r="A87" s="10" t="s">
        <v>186</v>
      </c>
      <c r="B87" s="11" t="s">
        <v>187</v>
      </c>
      <c r="C87" s="10" t="s">
        <v>156</v>
      </c>
      <c r="D87" s="10" t="s">
        <v>130</v>
      </c>
      <c r="E87" s="10"/>
    </row>
    <row r="88" spans="1:5" x14ac:dyDescent="0.3">
      <c r="A88" s="10" t="s">
        <v>188</v>
      </c>
      <c r="B88" s="11" t="s">
        <v>189</v>
      </c>
      <c r="C88" s="10" t="s">
        <v>156</v>
      </c>
      <c r="D88" s="10" t="s">
        <v>157</v>
      </c>
      <c r="E88" s="10"/>
    </row>
    <row r="89" spans="1:5" x14ac:dyDescent="0.3">
      <c r="A89" s="10" t="s">
        <v>190</v>
      </c>
      <c r="B89" s="11" t="s">
        <v>191</v>
      </c>
      <c r="C89" s="10" t="s">
        <v>156</v>
      </c>
      <c r="D89" s="10" t="s">
        <v>157</v>
      </c>
      <c r="E89" s="10"/>
    </row>
    <row r="90" spans="1:5" x14ac:dyDescent="0.3">
      <c r="A90" s="10" t="s">
        <v>192</v>
      </c>
      <c r="B90" s="11" t="s">
        <v>193</v>
      </c>
      <c r="C90" s="10" t="s">
        <v>156</v>
      </c>
      <c r="D90" s="10" t="s">
        <v>130</v>
      </c>
      <c r="E90" s="10"/>
    </row>
    <row r="91" spans="1:5" x14ac:dyDescent="0.3">
      <c r="A91" s="10" t="s">
        <v>194</v>
      </c>
      <c r="B91" s="11" t="s">
        <v>195</v>
      </c>
      <c r="C91" s="10" t="s">
        <v>156</v>
      </c>
      <c r="D91" s="10" t="s">
        <v>130</v>
      </c>
      <c r="E91" s="10"/>
    </row>
    <row r="92" spans="1:5" x14ac:dyDescent="0.3">
      <c r="A92" s="10" t="s">
        <v>196</v>
      </c>
      <c r="B92" s="11" t="s">
        <v>197</v>
      </c>
      <c r="C92" s="10" t="s">
        <v>156</v>
      </c>
      <c r="D92" s="10" t="s">
        <v>157</v>
      </c>
      <c r="E92" s="10"/>
    </row>
    <row r="93" spans="1:5" x14ac:dyDescent="0.3">
      <c r="A93" s="10" t="s">
        <v>198</v>
      </c>
      <c r="B93" s="11" t="s">
        <v>199</v>
      </c>
      <c r="C93" s="10" t="s">
        <v>156</v>
      </c>
      <c r="D93" s="10" t="s">
        <v>130</v>
      </c>
      <c r="E93" s="10"/>
    </row>
    <row r="94" spans="1:5" x14ac:dyDescent="0.3">
      <c r="A94" s="10" t="s">
        <v>200</v>
      </c>
      <c r="B94" s="11" t="s">
        <v>201</v>
      </c>
      <c r="C94" s="10" t="s">
        <v>156</v>
      </c>
      <c r="D94" s="10" t="s">
        <v>157</v>
      </c>
      <c r="E94" s="10"/>
    </row>
    <row r="95" spans="1:5" x14ac:dyDescent="0.3">
      <c r="A95" s="10" t="s">
        <v>202</v>
      </c>
      <c r="B95" s="11" t="s">
        <v>203</v>
      </c>
      <c r="C95" s="10" t="s">
        <v>156</v>
      </c>
      <c r="D95" s="10" t="s">
        <v>157</v>
      </c>
      <c r="E95" s="10"/>
    </row>
    <row r="96" spans="1:5" x14ac:dyDescent="0.3">
      <c r="A96" s="10" t="s">
        <v>204</v>
      </c>
      <c r="B96" s="11" t="s">
        <v>205</v>
      </c>
      <c r="C96" s="10" t="s">
        <v>156</v>
      </c>
      <c r="D96" s="10" t="s">
        <v>102</v>
      </c>
      <c r="E96" s="10"/>
    </row>
    <row r="97" spans="1:5" x14ac:dyDescent="0.3">
      <c r="A97" s="10" t="s">
        <v>206</v>
      </c>
      <c r="B97" s="11" t="s">
        <v>207</v>
      </c>
      <c r="C97" s="10" t="s">
        <v>156</v>
      </c>
      <c r="D97" s="10" t="s">
        <v>157</v>
      </c>
      <c r="E97" s="10"/>
    </row>
    <row r="98" spans="1:5" x14ac:dyDescent="0.3">
      <c r="A98" s="10" t="s">
        <v>208</v>
      </c>
      <c r="B98" s="11" t="s">
        <v>209</v>
      </c>
      <c r="C98" s="10" t="s">
        <v>210</v>
      </c>
      <c r="D98" s="10" t="s">
        <v>149</v>
      </c>
      <c r="E98" s="10"/>
    </row>
    <row r="99" spans="1:5" x14ac:dyDescent="0.3">
      <c r="A99" s="10" t="s">
        <v>211</v>
      </c>
      <c r="B99" s="11" t="s">
        <v>212</v>
      </c>
      <c r="C99" s="10" t="s">
        <v>210</v>
      </c>
      <c r="D99" s="10" t="s">
        <v>130</v>
      </c>
      <c r="E99" s="10"/>
    </row>
    <row r="100" spans="1:5" x14ac:dyDescent="0.3">
      <c r="A100" s="10" t="s">
        <v>213</v>
      </c>
      <c r="B100" s="11" t="s">
        <v>214</v>
      </c>
      <c r="C100" s="10" t="s">
        <v>210</v>
      </c>
      <c r="D100" s="10" t="s">
        <v>157</v>
      </c>
      <c r="E100" s="10"/>
    </row>
    <row r="101" spans="1:5" x14ac:dyDescent="0.3">
      <c r="A101" s="10" t="s">
        <v>215</v>
      </c>
      <c r="B101" s="11" t="s">
        <v>216</v>
      </c>
      <c r="C101" s="10" t="s">
        <v>210</v>
      </c>
      <c r="D101" s="10" t="s">
        <v>157</v>
      </c>
      <c r="E101" s="10"/>
    </row>
    <row r="102" spans="1:5" x14ac:dyDescent="0.3">
      <c r="A102" s="10" t="s">
        <v>217</v>
      </c>
      <c r="B102" s="11" t="s">
        <v>218</v>
      </c>
      <c r="C102" s="10" t="s">
        <v>219</v>
      </c>
      <c r="D102" s="10" t="s">
        <v>220</v>
      </c>
      <c r="E102" s="10"/>
    </row>
    <row r="103" spans="1:5" x14ac:dyDescent="0.3">
      <c r="A103" s="10" t="s">
        <v>221</v>
      </c>
      <c r="B103" s="11" t="s">
        <v>222</v>
      </c>
      <c r="C103" s="10" t="s">
        <v>219</v>
      </c>
      <c r="D103" s="10" t="s">
        <v>220</v>
      </c>
      <c r="E103" s="10"/>
    </row>
    <row r="104" spans="1:5" x14ac:dyDescent="0.3">
      <c r="A104" s="10" t="s">
        <v>223</v>
      </c>
      <c r="B104" s="11" t="s">
        <v>224</v>
      </c>
      <c r="C104" s="10" t="s">
        <v>219</v>
      </c>
      <c r="D104" s="10" t="s">
        <v>220</v>
      </c>
      <c r="E104" s="10"/>
    </row>
    <row r="105" spans="1:5" x14ac:dyDescent="0.3">
      <c r="A105" s="10" t="s">
        <v>225</v>
      </c>
      <c r="B105" s="11" t="s">
        <v>226</v>
      </c>
      <c r="C105" s="10" t="s">
        <v>219</v>
      </c>
      <c r="D105" s="10" t="s">
        <v>130</v>
      </c>
      <c r="E105" s="10"/>
    </row>
    <row r="106" spans="1:5" x14ac:dyDescent="0.3">
      <c r="A106" s="10"/>
      <c r="B106" s="11" t="s">
        <v>436</v>
      </c>
      <c r="C106" s="10" t="s">
        <v>148</v>
      </c>
      <c r="D106" s="10" t="s">
        <v>149</v>
      </c>
      <c r="E106" s="10" t="s">
        <v>131</v>
      </c>
    </row>
    <row r="107" spans="1:5" x14ac:dyDescent="0.3">
      <c r="A107" s="10"/>
      <c r="B107" s="11" t="s">
        <v>227</v>
      </c>
      <c r="C107" s="10" t="s">
        <v>219</v>
      </c>
      <c r="D107" s="10" t="s">
        <v>149</v>
      </c>
      <c r="E107" s="10"/>
    </row>
    <row r="108" spans="1:5" x14ac:dyDescent="0.3">
      <c r="A108" s="10"/>
      <c r="B108" s="11" t="s">
        <v>228</v>
      </c>
      <c r="C108" s="10" t="s">
        <v>219</v>
      </c>
      <c r="D108" s="10" t="s">
        <v>149</v>
      </c>
      <c r="E108" s="10"/>
    </row>
    <row r="109" spans="1:5" x14ac:dyDescent="0.3">
      <c r="A109" s="10"/>
      <c r="B109" s="11" t="s">
        <v>229</v>
      </c>
      <c r="C109" s="10" t="s">
        <v>219</v>
      </c>
      <c r="D109" s="10" t="s">
        <v>130</v>
      </c>
      <c r="E109" s="10"/>
    </row>
    <row r="110" spans="1:5" x14ac:dyDescent="0.3">
      <c r="A110" s="10"/>
      <c r="B110" s="11" t="s">
        <v>230</v>
      </c>
      <c r="C110" s="10" t="s">
        <v>219</v>
      </c>
      <c r="D110" s="10" t="s">
        <v>130</v>
      </c>
      <c r="E110" s="10"/>
    </row>
    <row r="111" spans="1:5" x14ac:dyDescent="0.3">
      <c r="A111" s="10"/>
      <c r="B111" s="11" t="s">
        <v>231</v>
      </c>
      <c r="C111" s="10" t="s">
        <v>219</v>
      </c>
      <c r="D111" s="10" t="s">
        <v>130</v>
      </c>
      <c r="E111" s="10"/>
    </row>
    <row r="112" spans="1:5" x14ac:dyDescent="0.3">
      <c r="A112" s="10"/>
      <c r="B112" s="11" t="s">
        <v>232</v>
      </c>
      <c r="C112" s="10" t="s">
        <v>219</v>
      </c>
      <c r="D112" s="10" t="s">
        <v>130</v>
      </c>
      <c r="E112" s="10"/>
    </row>
    <row r="113" spans="1:5" x14ac:dyDescent="0.3">
      <c r="A113" s="10"/>
      <c r="B113" s="11" t="s">
        <v>233</v>
      </c>
      <c r="C113" s="10" t="s">
        <v>219</v>
      </c>
      <c r="D113" s="10"/>
      <c r="E113" s="10"/>
    </row>
    <row r="114" spans="1:5" x14ac:dyDescent="0.3">
      <c r="A114" s="10"/>
      <c r="B114" s="11" t="s">
        <v>234</v>
      </c>
      <c r="C114" s="10" t="s">
        <v>219</v>
      </c>
      <c r="D114" s="10" t="s">
        <v>130</v>
      </c>
      <c r="E114" s="10"/>
    </row>
    <row r="117" spans="1:5" x14ac:dyDescent="0.3">
      <c r="A117" s="8" t="s">
        <v>235</v>
      </c>
    </row>
    <row r="118" spans="1:5" ht="18" customHeight="1" x14ac:dyDescent="0.3">
      <c r="A118" s="9" t="s">
        <v>236</v>
      </c>
      <c r="B118" s="9" t="s">
        <v>40</v>
      </c>
    </row>
    <row r="119" spans="1:5" x14ac:dyDescent="0.3">
      <c r="A119" s="10" t="s">
        <v>237</v>
      </c>
      <c r="B119" s="11" t="s">
        <v>238</v>
      </c>
    </row>
    <row r="120" spans="1:5" x14ac:dyDescent="0.3">
      <c r="A120" s="10" t="s">
        <v>239</v>
      </c>
      <c r="B120" s="11" t="s">
        <v>240</v>
      </c>
    </row>
    <row r="121" spans="1:5" x14ac:dyDescent="0.3">
      <c r="A121" s="10" t="s">
        <v>241</v>
      </c>
      <c r="B121" s="11" t="s">
        <v>242</v>
      </c>
    </row>
    <row r="122" spans="1:5" x14ac:dyDescent="0.3">
      <c r="A122" s="10" t="s">
        <v>243</v>
      </c>
      <c r="B122" s="11" t="s">
        <v>244</v>
      </c>
    </row>
    <row r="123" spans="1:5" x14ac:dyDescent="0.3">
      <c r="A123" s="10" t="s">
        <v>245</v>
      </c>
      <c r="B123" s="11" t="s">
        <v>246</v>
      </c>
    </row>
    <row r="124" spans="1:5" x14ac:dyDescent="0.3">
      <c r="A124" s="10" t="s">
        <v>247</v>
      </c>
      <c r="B124" s="11" t="s">
        <v>248</v>
      </c>
    </row>
    <row r="126" spans="1:5" x14ac:dyDescent="0.3">
      <c r="A126" s="8" t="s">
        <v>249</v>
      </c>
    </row>
    <row r="127" spans="1:5" ht="18" customHeight="1" x14ac:dyDescent="0.3">
      <c r="A127" s="9" t="s">
        <v>250</v>
      </c>
      <c r="B127" s="9" t="s">
        <v>40</v>
      </c>
    </row>
    <row r="128" spans="1:5" x14ac:dyDescent="0.3">
      <c r="A128" s="10" t="s">
        <v>251</v>
      </c>
      <c r="B128" s="11" t="s">
        <v>252</v>
      </c>
    </row>
    <row r="129" spans="1:2" x14ac:dyDescent="0.3">
      <c r="A129" s="10" t="s">
        <v>253</v>
      </c>
      <c r="B129" s="11" t="s">
        <v>254</v>
      </c>
    </row>
    <row r="130" spans="1:2" x14ac:dyDescent="0.3">
      <c r="A130" s="10" t="s">
        <v>255</v>
      </c>
      <c r="B130" s="11" t="s">
        <v>256</v>
      </c>
    </row>
    <row r="131" spans="1:2" x14ac:dyDescent="0.3">
      <c r="A131" s="10" t="s">
        <v>257</v>
      </c>
      <c r="B131" s="11" t="s">
        <v>258</v>
      </c>
    </row>
    <row r="132" spans="1:2" x14ac:dyDescent="0.3">
      <c r="A132" s="10" t="s">
        <v>259</v>
      </c>
      <c r="B132" s="11" t="s">
        <v>260</v>
      </c>
    </row>
    <row r="133" spans="1:2" x14ac:dyDescent="0.3">
      <c r="A133" s="10" t="s">
        <v>261</v>
      </c>
      <c r="B133" s="11" t="s">
        <v>262</v>
      </c>
    </row>
    <row r="134" spans="1:2" x14ac:dyDescent="0.3">
      <c r="A134" s="59"/>
      <c r="B134" s="2"/>
    </row>
    <row r="135" spans="1:2" x14ac:dyDescent="0.3">
      <c r="A135" s="8" t="s">
        <v>466</v>
      </c>
      <c r="B135" s="2"/>
    </row>
    <row r="136" spans="1:2" ht="18" customHeight="1" x14ac:dyDescent="0.3">
      <c r="A136" s="9" t="s">
        <v>39</v>
      </c>
      <c r="B136" s="9" t="s">
        <v>40</v>
      </c>
    </row>
    <row r="137" spans="1:2" x14ac:dyDescent="0.3">
      <c r="A137" s="10" t="s">
        <v>446</v>
      </c>
      <c r="B137" s="10" t="s">
        <v>472</v>
      </c>
    </row>
    <row r="138" spans="1:2" x14ac:dyDescent="0.3">
      <c r="A138" s="10" t="s">
        <v>467</v>
      </c>
      <c r="B138" s="10" t="s">
        <v>473</v>
      </c>
    </row>
    <row r="139" spans="1:2" x14ac:dyDescent="0.3">
      <c r="A139" s="10" t="s">
        <v>468</v>
      </c>
      <c r="B139" s="10" t="s">
        <v>474</v>
      </c>
    </row>
    <row r="140" spans="1:2" x14ac:dyDescent="0.3">
      <c r="A140" s="10" t="s">
        <v>469</v>
      </c>
      <c r="B140" s="10" t="s">
        <v>475</v>
      </c>
    </row>
    <row r="141" spans="1:2" x14ac:dyDescent="0.3">
      <c r="A141" s="10" t="s">
        <v>470</v>
      </c>
      <c r="B141" s="10" t="s">
        <v>476</v>
      </c>
    </row>
    <row r="142" spans="1:2" x14ac:dyDescent="0.3">
      <c r="A142" s="10" t="s">
        <v>471</v>
      </c>
      <c r="B142" s="10" t="s">
        <v>477</v>
      </c>
    </row>
    <row r="144" spans="1:2" x14ac:dyDescent="0.3">
      <c r="A144" s="8" t="s">
        <v>460</v>
      </c>
    </row>
    <row r="145" spans="1:2" ht="18" customHeight="1" x14ac:dyDescent="0.3">
      <c r="A145" s="9" t="s">
        <v>263</v>
      </c>
      <c r="B145" s="9" t="s">
        <v>264</v>
      </c>
    </row>
    <row r="146" spans="1:2" x14ac:dyDescent="0.3">
      <c r="A146" s="10" t="s">
        <v>265</v>
      </c>
      <c r="B146" s="11" t="s">
        <v>266</v>
      </c>
    </row>
    <row r="147" spans="1:2" x14ac:dyDescent="0.3">
      <c r="A147" s="10" t="s">
        <v>267</v>
      </c>
      <c r="B147" s="11" t="s">
        <v>268</v>
      </c>
    </row>
    <row r="148" spans="1:2" ht="27.6" x14ac:dyDescent="0.3">
      <c r="A148" s="10" t="s">
        <v>269</v>
      </c>
      <c r="B148" s="11" t="s">
        <v>270</v>
      </c>
    </row>
    <row r="149" spans="1:2" ht="27.6" x14ac:dyDescent="0.3">
      <c r="A149" s="10" t="s">
        <v>271</v>
      </c>
      <c r="B149" s="11" t="s">
        <v>272</v>
      </c>
    </row>
    <row r="150" spans="1:2" ht="27.6" x14ac:dyDescent="0.3">
      <c r="A150" s="10" t="s">
        <v>273</v>
      </c>
      <c r="B150" s="11" t="s">
        <v>274</v>
      </c>
    </row>
    <row r="152" spans="1:2" x14ac:dyDescent="0.3">
      <c r="A152" s="8" t="s">
        <v>461</v>
      </c>
    </row>
    <row r="153" spans="1:2" ht="18" customHeight="1" x14ac:dyDescent="0.3">
      <c r="A153" s="9" t="s">
        <v>263</v>
      </c>
      <c r="B153" s="9" t="s">
        <v>275</v>
      </c>
    </row>
    <row r="154" spans="1:2" x14ac:dyDescent="0.3">
      <c r="A154" s="10" t="s">
        <v>276</v>
      </c>
      <c r="B154" s="11" t="s">
        <v>277</v>
      </c>
    </row>
    <row r="155" spans="1:2" x14ac:dyDescent="0.3">
      <c r="A155" s="10" t="s">
        <v>278</v>
      </c>
      <c r="B155" s="11" t="s">
        <v>279</v>
      </c>
    </row>
    <row r="156" spans="1:2" x14ac:dyDescent="0.3">
      <c r="A156" s="10" t="s">
        <v>280</v>
      </c>
      <c r="B156" s="11" t="s">
        <v>281</v>
      </c>
    </row>
    <row r="157" spans="1:2" x14ac:dyDescent="0.3">
      <c r="A157" s="10" t="s">
        <v>282</v>
      </c>
      <c r="B157" s="11" t="s">
        <v>283</v>
      </c>
    </row>
    <row r="159" spans="1:2" x14ac:dyDescent="0.3">
      <c r="A159" s="8" t="s">
        <v>462</v>
      </c>
    </row>
    <row r="160" spans="1:2" x14ac:dyDescent="0.3">
      <c r="B160" s="14" t="s">
        <v>284</v>
      </c>
    </row>
    <row r="161" spans="1:6" x14ac:dyDescent="0.3">
      <c r="A161" s="14" t="s">
        <v>285</v>
      </c>
      <c r="B161" s="15">
        <v>1</v>
      </c>
      <c r="C161" s="15">
        <v>2</v>
      </c>
      <c r="D161" s="15">
        <v>3</v>
      </c>
      <c r="E161" s="15">
        <v>4</v>
      </c>
      <c r="F161" s="15">
        <v>5</v>
      </c>
    </row>
    <row r="162" spans="1:6" x14ac:dyDescent="0.3">
      <c r="A162" s="15">
        <v>1</v>
      </c>
      <c r="B162" s="16" t="s">
        <v>286</v>
      </c>
      <c r="C162" s="16" t="s">
        <v>286</v>
      </c>
      <c r="D162" s="17" t="s">
        <v>287</v>
      </c>
      <c r="E162" s="17" t="s">
        <v>287</v>
      </c>
      <c r="F162" s="17" t="s">
        <v>287</v>
      </c>
    </row>
    <row r="163" spans="1:6" x14ac:dyDescent="0.3">
      <c r="A163" s="15">
        <v>2</v>
      </c>
      <c r="B163" s="16" t="s">
        <v>286</v>
      </c>
      <c r="C163" s="17" t="s">
        <v>287</v>
      </c>
      <c r="D163" s="17" t="s">
        <v>287</v>
      </c>
      <c r="E163" s="18" t="s">
        <v>288</v>
      </c>
      <c r="F163" s="18" t="s">
        <v>288</v>
      </c>
    </row>
    <row r="164" spans="1:6" x14ac:dyDescent="0.3">
      <c r="A164" s="15">
        <v>3</v>
      </c>
      <c r="B164" s="17" t="s">
        <v>287</v>
      </c>
      <c r="C164" s="17" t="s">
        <v>287</v>
      </c>
      <c r="D164" s="18" t="s">
        <v>288</v>
      </c>
      <c r="E164" s="19" t="s">
        <v>289</v>
      </c>
      <c r="F164" s="19" t="s">
        <v>289</v>
      </c>
    </row>
    <row r="165" spans="1:6" x14ac:dyDescent="0.3">
      <c r="A165" s="15">
        <v>4</v>
      </c>
      <c r="B165" s="17" t="s">
        <v>287</v>
      </c>
      <c r="C165" s="18" t="s">
        <v>288</v>
      </c>
      <c r="D165" s="19" t="s">
        <v>289</v>
      </c>
      <c r="E165" s="19" t="s">
        <v>289</v>
      </c>
      <c r="F165" s="20" t="s">
        <v>290</v>
      </c>
    </row>
    <row r="167" spans="1:6" x14ac:dyDescent="0.3">
      <c r="A167" s="8" t="s">
        <v>463</v>
      </c>
    </row>
    <row r="168" spans="1:6" ht="18" customHeight="1" x14ac:dyDescent="0.3">
      <c r="A168" s="9" t="s">
        <v>291</v>
      </c>
    </row>
    <row r="169" spans="1:6" x14ac:dyDescent="0.3">
      <c r="A169" s="10" t="s">
        <v>292</v>
      </c>
    </row>
    <row r="170" spans="1:6" x14ac:dyDescent="0.3">
      <c r="A170" s="10" t="s">
        <v>293</v>
      </c>
    </row>
    <row r="171" spans="1:6" x14ac:dyDescent="0.3">
      <c r="A171" s="10" t="s">
        <v>294</v>
      </c>
    </row>
    <row r="172" spans="1:6" x14ac:dyDescent="0.3">
      <c r="A172" s="10" t="s">
        <v>295</v>
      </c>
    </row>
    <row r="173" spans="1:6" x14ac:dyDescent="0.3">
      <c r="A173" s="10" t="s">
        <v>296</v>
      </c>
    </row>
    <row r="174" spans="1:6" x14ac:dyDescent="0.3">
      <c r="A174" s="10" t="s">
        <v>297</v>
      </c>
    </row>
    <row r="175" spans="1:6" x14ac:dyDescent="0.3">
      <c r="A175" s="10" t="s">
        <v>298</v>
      </c>
    </row>
    <row r="176" spans="1:6" x14ac:dyDescent="0.3">
      <c r="A176" s="10" t="s">
        <v>299</v>
      </c>
    </row>
    <row r="177" spans="1:1" x14ac:dyDescent="0.3">
      <c r="A177" s="10" t="s">
        <v>300</v>
      </c>
    </row>
    <row r="178" spans="1:1" x14ac:dyDescent="0.3">
      <c r="A178" s="10" t="s">
        <v>301</v>
      </c>
    </row>
    <row r="179" spans="1:1" x14ac:dyDescent="0.3">
      <c r="A179" s="10" t="s">
        <v>302</v>
      </c>
    </row>
    <row r="180" spans="1:1" x14ac:dyDescent="0.3">
      <c r="A180" s="10" t="s">
        <v>303</v>
      </c>
    </row>
    <row r="181" spans="1:1" x14ac:dyDescent="0.3">
      <c r="A181" s="10" t="s">
        <v>304</v>
      </c>
    </row>
    <row r="182" spans="1:1" x14ac:dyDescent="0.3">
      <c r="A182" s="10" t="s">
        <v>305</v>
      </c>
    </row>
    <row r="183" spans="1:1" x14ac:dyDescent="0.3">
      <c r="A183" s="10" t="s">
        <v>306</v>
      </c>
    </row>
    <row r="184" spans="1:1" x14ac:dyDescent="0.3">
      <c r="A184" s="10" t="s">
        <v>307</v>
      </c>
    </row>
    <row r="185" spans="1:1" x14ac:dyDescent="0.3">
      <c r="A185" s="10" t="s">
        <v>308</v>
      </c>
    </row>
    <row r="186" spans="1:1" x14ac:dyDescent="0.3">
      <c r="A186" s="10" t="s">
        <v>309</v>
      </c>
    </row>
    <row r="187" spans="1:1" x14ac:dyDescent="0.3">
      <c r="A187" s="10" t="s">
        <v>310</v>
      </c>
    </row>
    <row r="188" spans="1:1" x14ac:dyDescent="0.3">
      <c r="A188" s="10" t="s">
        <v>311</v>
      </c>
    </row>
    <row r="189" spans="1:1" x14ac:dyDescent="0.3">
      <c r="A189" s="10" t="s">
        <v>312</v>
      </c>
    </row>
    <row r="190" spans="1:1" x14ac:dyDescent="0.3">
      <c r="A190" s="10" t="s">
        <v>313</v>
      </c>
    </row>
    <row r="191" spans="1:1" x14ac:dyDescent="0.3">
      <c r="A191" s="10" t="s">
        <v>314</v>
      </c>
    </row>
    <row r="192" spans="1:1" x14ac:dyDescent="0.3">
      <c r="A192" s="10" t="s">
        <v>315</v>
      </c>
    </row>
    <row r="194" spans="1:1" x14ac:dyDescent="0.3">
      <c r="A194" s="8" t="s">
        <v>464</v>
      </c>
    </row>
    <row r="195" spans="1:1" ht="18" customHeight="1" x14ac:dyDescent="0.3">
      <c r="A195" s="9" t="s">
        <v>316</v>
      </c>
    </row>
    <row r="196" spans="1:1" x14ac:dyDescent="0.3">
      <c r="A196" s="10" t="s">
        <v>317</v>
      </c>
    </row>
    <row r="197" spans="1:1" x14ac:dyDescent="0.3">
      <c r="A197" s="10" t="s">
        <v>318</v>
      </c>
    </row>
    <row r="198" spans="1:1" x14ac:dyDescent="0.3">
      <c r="A198" s="10" t="s">
        <v>319</v>
      </c>
    </row>
    <row r="199" spans="1:1" x14ac:dyDescent="0.3">
      <c r="A199" s="10" t="s">
        <v>320</v>
      </c>
    </row>
    <row r="201" spans="1:1" x14ac:dyDescent="0.3">
      <c r="A201" s="8" t="s">
        <v>465</v>
      </c>
    </row>
    <row r="202" spans="1:1" ht="18" customHeight="1" x14ac:dyDescent="0.3">
      <c r="A202" s="9" t="s">
        <v>321</v>
      </c>
    </row>
    <row r="203" spans="1:1" x14ac:dyDescent="0.3">
      <c r="A203" s="10" t="s">
        <v>322</v>
      </c>
    </row>
    <row r="204" spans="1:1" x14ac:dyDescent="0.3">
      <c r="A204" s="10" t="s">
        <v>323</v>
      </c>
    </row>
    <row r="205" spans="1:1" x14ac:dyDescent="0.3">
      <c r="A205" s="10" t="s">
        <v>324</v>
      </c>
    </row>
    <row r="206" spans="1:1" x14ac:dyDescent="0.3">
      <c r="A206" s="10" t="s">
        <v>325</v>
      </c>
    </row>
    <row r="207" spans="1:1" x14ac:dyDescent="0.3">
      <c r="A207" s="10" t="s">
        <v>326</v>
      </c>
    </row>
  </sheetData>
  <autoFilter ref="A48:E114" xr:uid="{00000000-0009-0000-0000-000001000000}"/>
  <mergeCells count="1">
    <mergeCell ref="A46:E46"/>
  </mergeCells>
  <pageMargins left="0.75" right="0.75" top="1" bottom="1" header="0.511811023622047" footer="0.511811023622047"/>
  <pageSetup paperSize="9" orientation="portrait" horizontalDpi="300" verticalDpi="300"/>
  <headerFooter>
    <oddHeader>&amp;R&amp;"Aptos"&amp;10&amp;K000000 Uso interno&amp;1#_x000D_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35"/>
  <sheetViews>
    <sheetView showGridLines="0" zoomScale="80" zoomScaleNormal="80" workbookViewId="0">
      <pane ySplit="4" topLeftCell="A5" activePane="bottomLeft" state="frozen"/>
      <selection pane="bottomLeft" activeCell="A49" sqref="A5:XFD49"/>
    </sheetView>
  </sheetViews>
  <sheetFormatPr baseColWidth="10" defaultColWidth="8.6640625" defaultRowHeight="14.4" x14ac:dyDescent="0.3"/>
  <cols>
    <col min="1" max="1" width="8" customWidth="1"/>
    <col min="2" max="2" width="20" customWidth="1"/>
    <col min="3" max="3" width="30" customWidth="1"/>
    <col min="4" max="4" width="18" customWidth="1"/>
    <col min="5" max="5" width="28" customWidth="1"/>
    <col min="6" max="6" width="30" customWidth="1"/>
    <col min="7" max="8" width="24" customWidth="1"/>
    <col min="9" max="10" width="28" customWidth="1"/>
    <col min="11" max="11" width="18.33203125" customWidth="1"/>
    <col min="12" max="12" width="15" customWidth="1"/>
    <col min="13" max="13" width="16" customWidth="1"/>
    <col min="14" max="14" width="18" customWidth="1"/>
    <col min="15" max="15" width="14" style="57" customWidth="1"/>
    <col min="16" max="16" width="28" customWidth="1"/>
    <col min="17" max="17" width="20" customWidth="1"/>
    <col min="18" max="18" width="14" customWidth="1"/>
    <col min="19" max="19" width="18" style="57" customWidth="1"/>
  </cols>
  <sheetData>
    <row r="1" spans="1:19" ht="25.5" customHeight="1" x14ac:dyDescent="0.3">
      <c r="A1" s="70" t="s">
        <v>327</v>
      </c>
      <c r="B1" s="70"/>
      <c r="C1" s="70"/>
      <c r="D1" s="70"/>
      <c r="E1" s="70"/>
      <c r="F1" s="70"/>
      <c r="G1" s="70"/>
      <c r="H1" s="70"/>
      <c r="I1" s="70"/>
      <c r="J1" s="70"/>
      <c r="K1" s="70"/>
      <c r="L1" s="70"/>
      <c r="M1" s="70"/>
      <c r="N1" s="70"/>
      <c r="O1" s="70"/>
      <c r="P1" s="70"/>
      <c r="Q1" s="70"/>
      <c r="R1" s="70"/>
      <c r="S1" s="70"/>
    </row>
    <row r="2" spans="1:19" ht="15.75" customHeight="1" x14ac:dyDescent="0.3">
      <c r="A2" s="71" t="s">
        <v>328</v>
      </c>
      <c r="B2" s="71"/>
      <c r="C2" s="71"/>
      <c r="D2" s="71"/>
      <c r="E2" s="71"/>
      <c r="F2" s="71"/>
      <c r="G2" s="71"/>
      <c r="H2" s="71"/>
      <c r="I2" s="71"/>
      <c r="J2" s="71"/>
      <c r="K2" s="71"/>
      <c r="L2" s="71"/>
      <c r="M2" s="71"/>
      <c r="N2" s="71"/>
      <c r="O2" s="71"/>
      <c r="P2" s="71"/>
      <c r="Q2" s="71"/>
      <c r="R2" s="71"/>
      <c r="S2" s="71"/>
    </row>
    <row r="3" spans="1:19" ht="15.75" customHeight="1" x14ac:dyDescent="0.3">
      <c r="B3" s="72" t="s">
        <v>329</v>
      </c>
      <c r="C3" s="72"/>
      <c r="D3" s="72"/>
      <c r="E3" s="72"/>
      <c r="F3" s="72"/>
      <c r="G3" s="72"/>
      <c r="H3" s="72"/>
      <c r="I3" s="72"/>
      <c r="J3" s="3"/>
      <c r="K3" s="3"/>
      <c r="L3" s="3"/>
      <c r="M3" s="72" t="s">
        <v>330</v>
      </c>
      <c r="N3" s="72"/>
      <c r="O3" s="72"/>
      <c r="P3" s="72"/>
      <c r="Q3" s="72"/>
      <c r="R3" s="72" t="s">
        <v>331</v>
      </c>
      <c r="S3" s="72"/>
    </row>
    <row r="4" spans="1:19" ht="42" customHeight="1" x14ac:dyDescent="0.3">
      <c r="A4" s="21" t="s">
        <v>332</v>
      </c>
      <c r="B4" s="21" t="s">
        <v>36</v>
      </c>
      <c r="C4" s="21" t="s">
        <v>333</v>
      </c>
      <c r="D4" s="21" t="s">
        <v>334</v>
      </c>
      <c r="E4" s="21" t="s">
        <v>335</v>
      </c>
      <c r="F4" s="21" t="s">
        <v>439</v>
      </c>
      <c r="G4" s="21" t="s">
        <v>336</v>
      </c>
      <c r="H4" s="21" t="s">
        <v>438</v>
      </c>
      <c r="I4" s="21" t="s">
        <v>440</v>
      </c>
      <c r="J4" s="21" t="s">
        <v>441</v>
      </c>
      <c r="K4" s="21" t="s">
        <v>442</v>
      </c>
      <c r="L4" s="21" t="s">
        <v>443</v>
      </c>
      <c r="M4" s="21" t="s">
        <v>337</v>
      </c>
      <c r="N4" s="21" t="s">
        <v>338</v>
      </c>
      <c r="O4" s="21" t="s">
        <v>339</v>
      </c>
      <c r="P4" s="21" t="s">
        <v>340</v>
      </c>
      <c r="Q4" s="21" t="s">
        <v>341</v>
      </c>
      <c r="R4" s="21" t="s">
        <v>342</v>
      </c>
      <c r="S4" s="21" t="s">
        <v>343</v>
      </c>
    </row>
    <row r="5" spans="1:19" ht="41.4" x14ac:dyDescent="0.3">
      <c r="A5" s="22" t="s">
        <v>352</v>
      </c>
      <c r="B5" s="11" t="s">
        <v>37</v>
      </c>
      <c r="C5" s="23" t="s">
        <v>45</v>
      </c>
      <c r="D5" s="23" t="s">
        <v>58</v>
      </c>
      <c r="E5" s="11" t="s">
        <v>353</v>
      </c>
      <c r="F5" s="11" t="s">
        <v>354</v>
      </c>
      <c r="G5" s="11"/>
      <c r="H5" s="11"/>
      <c r="I5" s="11" t="s">
        <v>351</v>
      </c>
      <c r="J5" s="11"/>
      <c r="K5" s="11"/>
      <c r="L5" s="11"/>
      <c r="M5" s="11" t="s">
        <v>271</v>
      </c>
      <c r="N5" s="11" t="s">
        <v>280</v>
      </c>
      <c r="O5" s="24" t="str">
        <f>IF(OR(M5="",N5=""),"",INDEX('Datos maestros'!$B$162:$F$165,VALUE(LEFT(N5,1)),VALUE(LEFT(M5,1))))</f>
        <v>Alto</v>
      </c>
      <c r="P5" s="13"/>
      <c r="Q5" s="11" t="s">
        <v>309</v>
      </c>
      <c r="R5" s="24" t="str">
        <f>IF(A5="","",IF(COUNTIF('Tratamiento de riesgos'!$B:$B,A5)&gt;0,"Sí","No"))</f>
        <v>Sí</v>
      </c>
      <c r="S5" s="25" t="str">
        <f t="shared" ref="S5:S17" si="0">IF(SUM(COUNTBLANK(B5:C5),COUNTBLANK(E5:F5),COUNTBLANK(M5:N5),COUNTBLANK(Q5))&gt;0,"⚠ Pendiente de completar","✓ Completo")</f>
        <v>✓ Completo</v>
      </c>
    </row>
    <row r="6" spans="1:19" s="51" customFormat="1" ht="96.6" x14ac:dyDescent="0.3">
      <c r="A6" s="58" t="s">
        <v>355</v>
      </c>
      <c r="B6" s="49" t="s">
        <v>427</v>
      </c>
      <c r="C6" s="50" t="s">
        <v>435</v>
      </c>
      <c r="D6" s="50" t="s">
        <v>54</v>
      </c>
      <c r="E6" s="49" t="s">
        <v>577</v>
      </c>
      <c r="F6" s="49" t="s">
        <v>578</v>
      </c>
      <c r="G6" s="49" t="s">
        <v>483</v>
      </c>
      <c r="H6" s="49" t="s">
        <v>579</v>
      </c>
      <c r="I6" s="49" t="s">
        <v>580</v>
      </c>
      <c r="J6" s="49" t="s">
        <v>581</v>
      </c>
      <c r="K6" s="49" t="s">
        <v>470</v>
      </c>
      <c r="L6" s="49" t="s">
        <v>582</v>
      </c>
      <c r="M6" s="49" t="s">
        <v>269</v>
      </c>
      <c r="N6" s="49" t="s">
        <v>280</v>
      </c>
      <c r="O6" s="24" t="str">
        <f>IF(OR(M6="",N6=""),"",INDEX('Datos maestros'!$B$162:$F$165,VALUE(LEFT(N6,1)),VALUE(LEFT(M6,1))))</f>
        <v>Medio</v>
      </c>
      <c r="P6" s="69" t="s">
        <v>583</v>
      </c>
      <c r="Q6" s="49" t="s">
        <v>299</v>
      </c>
      <c r="R6" s="24" t="str">
        <f>IF(A6="","",IF(COUNTIF('Tratamiento de riesgos'!$B:$B,A6)&gt;0,"Sí","No"))</f>
        <v>No</v>
      </c>
      <c r="S6" s="25" t="str">
        <f t="shared" si="0"/>
        <v>✓ Completo</v>
      </c>
    </row>
    <row r="7" spans="1:19" s="51" customFormat="1" ht="220.8" x14ac:dyDescent="0.3">
      <c r="A7" s="58" t="s">
        <v>356</v>
      </c>
      <c r="B7" s="49" t="s">
        <v>429</v>
      </c>
      <c r="C7" s="50" t="s">
        <v>435</v>
      </c>
      <c r="D7" s="50" t="s">
        <v>54</v>
      </c>
      <c r="E7" s="49" t="s">
        <v>567</v>
      </c>
      <c r="F7" s="49" t="s">
        <v>568</v>
      </c>
      <c r="G7" s="49" t="s">
        <v>483</v>
      </c>
      <c r="H7" s="49" t="s">
        <v>569</v>
      </c>
      <c r="I7" s="49" t="s">
        <v>570</v>
      </c>
      <c r="J7" s="49" t="s">
        <v>571</v>
      </c>
      <c r="K7" s="49" t="s">
        <v>467</v>
      </c>
      <c r="L7" s="49" t="s">
        <v>572</v>
      </c>
      <c r="M7" s="49" t="s">
        <v>271</v>
      </c>
      <c r="N7" s="49" t="s">
        <v>282</v>
      </c>
      <c r="O7" s="24" t="str">
        <f>IF(OR(M7="",N7=""),"",INDEX('Datos maestros'!$B$162:$F$165,VALUE(LEFT(N7,1)),VALUE(LEFT(M7,1))))</f>
        <v>Alto</v>
      </c>
      <c r="P7" s="49" t="s">
        <v>573</v>
      </c>
      <c r="Q7" s="49" t="s">
        <v>294</v>
      </c>
      <c r="R7" s="24" t="str">
        <f>IF(A7="","",IF(COUNTIF('Tratamiento de riesgos'!$B:$B,A7)&gt;0,"Sí","No"))</f>
        <v>Sí</v>
      </c>
      <c r="S7" s="25" t="str">
        <f t="shared" si="0"/>
        <v>✓ Completo</v>
      </c>
    </row>
    <row r="8" spans="1:19" s="51" customFormat="1" ht="193.2" x14ac:dyDescent="0.3">
      <c r="A8" s="58" t="s">
        <v>357</v>
      </c>
      <c r="B8" s="49" t="s">
        <v>427</v>
      </c>
      <c r="C8" s="50" t="s">
        <v>435</v>
      </c>
      <c r="D8" s="50" t="s">
        <v>54</v>
      </c>
      <c r="E8" s="49" t="s">
        <v>560</v>
      </c>
      <c r="F8" s="49" t="s">
        <v>561</v>
      </c>
      <c r="G8" s="49" t="s">
        <v>483</v>
      </c>
      <c r="H8" s="49" t="s">
        <v>562</v>
      </c>
      <c r="I8" s="49" t="s">
        <v>563</v>
      </c>
      <c r="J8" s="49" t="s">
        <v>564</v>
      </c>
      <c r="K8" s="49" t="s">
        <v>471</v>
      </c>
      <c r="L8" s="49" t="s">
        <v>565</v>
      </c>
      <c r="M8" s="49" t="s">
        <v>271</v>
      </c>
      <c r="N8" s="49" t="s">
        <v>280</v>
      </c>
      <c r="O8" s="24" t="str">
        <f>IF(OR(M8="",N8=""),"",INDEX('Datos maestros'!$B$162:$F$165,VALUE(LEFT(N8,1)),VALUE(LEFT(M8,1))))</f>
        <v>Alto</v>
      </c>
      <c r="P8" s="49" t="s">
        <v>358</v>
      </c>
      <c r="Q8" s="49" t="s">
        <v>292</v>
      </c>
      <c r="R8" s="24" t="str">
        <f>IF(A8="","",IF(COUNTIF('Tratamiento de riesgos'!$B:$B,A8)&gt;0,"Sí","No"))</f>
        <v>Sí</v>
      </c>
      <c r="S8" s="25" t="str">
        <f t="shared" si="0"/>
        <v>✓ Completo</v>
      </c>
    </row>
    <row r="9" spans="1:19" s="55" customFormat="1" ht="179.4" x14ac:dyDescent="0.3">
      <c r="A9" s="61" t="s">
        <v>359</v>
      </c>
      <c r="B9" s="52" t="s">
        <v>538</v>
      </c>
      <c r="C9" s="53" t="s">
        <v>43</v>
      </c>
      <c r="D9" s="53" t="s">
        <v>52</v>
      </c>
      <c r="E9" s="52" t="s">
        <v>551</v>
      </c>
      <c r="F9" s="52" t="s">
        <v>552</v>
      </c>
      <c r="G9" s="52" t="s">
        <v>483</v>
      </c>
      <c r="H9" s="52" t="s">
        <v>553</v>
      </c>
      <c r="I9" s="52" t="s">
        <v>554</v>
      </c>
      <c r="J9" s="52" t="s">
        <v>555</v>
      </c>
      <c r="K9" s="52" t="s">
        <v>471</v>
      </c>
      <c r="L9" s="52" t="s">
        <v>556</v>
      </c>
      <c r="M9" s="52" t="s">
        <v>269</v>
      </c>
      <c r="N9" s="52" t="s">
        <v>282</v>
      </c>
      <c r="O9" s="24" t="str">
        <f>IF(OR(M9="",N9=""),"",INDEX('Datos maestros'!$B$162:$F$165,VALUE(LEFT(N9,1)),VALUE(LEFT(M9,1))))</f>
        <v>Alto</v>
      </c>
      <c r="P9" s="66" t="s">
        <v>566</v>
      </c>
      <c r="Q9" s="52" t="s">
        <v>292</v>
      </c>
      <c r="R9" s="24" t="str">
        <f>IF(A9="","",IF(COUNTIF('Tratamiento de riesgos'!$B:$B,A9)&gt;0,"Sí","No"))</f>
        <v>Sí</v>
      </c>
      <c r="S9" s="25" t="str">
        <f t="shared" si="0"/>
        <v>✓ Completo</v>
      </c>
    </row>
    <row r="10" spans="1:19" s="55" customFormat="1" ht="187.2" customHeight="1" x14ac:dyDescent="0.3">
      <c r="A10" s="61" t="s">
        <v>360</v>
      </c>
      <c r="B10" s="52" t="s">
        <v>429</v>
      </c>
      <c r="C10" s="53" t="s">
        <v>435</v>
      </c>
      <c r="D10" s="53" t="s">
        <v>56</v>
      </c>
      <c r="E10" s="52" t="s">
        <v>539</v>
      </c>
      <c r="F10" s="52" t="s">
        <v>540</v>
      </c>
      <c r="G10" s="52" t="s">
        <v>483</v>
      </c>
      <c r="H10" s="52" t="s">
        <v>541</v>
      </c>
      <c r="I10" s="52" t="s">
        <v>542</v>
      </c>
      <c r="J10" s="52" t="s">
        <v>543</v>
      </c>
      <c r="K10" s="52" t="s">
        <v>471</v>
      </c>
      <c r="L10" s="52" t="s">
        <v>544</v>
      </c>
      <c r="M10" s="52" t="s">
        <v>271</v>
      </c>
      <c r="N10" s="52" t="s">
        <v>280</v>
      </c>
      <c r="O10" s="62" t="str">
        <f>IF(OR(M10="",N10=""),"",INDEX('Datos maestros'!$B$162:$F$165,VALUE(LEFT(N10,1)),VALUE(LEFT(M10,1))))</f>
        <v>Alto</v>
      </c>
      <c r="P10" s="52" t="s">
        <v>537</v>
      </c>
      <c r="Q10" s="52" t="s">
        <v>304</v>
      </c>
      <c r="R10" s="24" t="str">
        <f>IF(A10="","",IF(COUNTIF('Tratamiento de riesgos'!$B:$B,A10)&gt;0,"Sí","No"))</f>
        <v>Sí</v>
      </c>
      <c r="S10" s="25" t="str">
        <f t="shared" si="0"/>
        <v>✓ Completo</v>
      </c>
    </row>
    <row r="11" spans="1:19" s="51" customFormat="1" ht="122.4" customHeight="1" x14ac:dyDescent="0.3">
      <c r="A11" s="58" t="s">
        <v>361</v>
      </c>
      <c r="B11" s="49" t="s">
        <v>427</v>
      </c>
      <c r="C11" s="50" t="s">
        <v>435</v>
      </c>
      <c r="D11" s="50" t="s">
        <v>52</v>
      </c>
      <c r="E11" s="49" t="s">
        <v>527</v>
      </c>
      <c r="F11" s="49" t="s">
        <v>528</v>
      </c>
      <c r="G11" s="49" t="s">
        <v>483</v>
      </c>
      <c r="H11" s="49" t="s">
        <v>529</v>
      </c>
      <c r="I11" s="49" t="s">
        <v>530</v>
      </c>
      <c r="J11" s="49" t="s">
        <v>531</v>
      </c>
      <c r="K11" s="49" t="s">
        <v>467</v>
      </c>
      <c r="L11" s="49" t="s">
        <v>533</v>
      </c>
      <c r="M11" s="49" t="s">
        <v>271</v>
      </c>
      <c r="N11" s="49" t="s">
        <v>278</v>
      </c>
      <c r="O11" s="24" t="str">
        <f>IF(OR(M11="",N11=""),"",INDEX('Datos maestros'!$B$162:$F$165,VALUE(LEFT(N11,1)),VALUE(LEFT(M11,1))))</f>
        <v>Medio</v>
      </c>
      <c r="P11" s="49" t="s">
        <v>534</v>
      </c>
      <c r="Q11" s="49" t="s">
        <v>294</v>
      </c>
      <c r="R11" s="24" t="str">
        <f>IF(A11="","",IF(COUNTIF('Tratamiento de riesgos'!$B:$B,A11)&gt;0,"Sí","No"))</f>
        <v>Sí</v>
      </c>
      <c r="S11" s="25" t="str">
        <f t="shared" si="0"/>
        <v>✓ Completo</v>
      </c>
    </row>
    <row r="12" spans="1:19" s="55" customFormat="1" ht="136.80000000000001" customHeight="1" x14ac:dyDescent="0.3">
      <c r="A12" s="61" t="s">
        <v>362</v>
      </c>
      <c r="B12" s="52" t="s">
        <v>428</v>
      </c>
      <c r="C12" s="53" t="s">
        <v>435</v>
      </c>
      <c r="D12" s="53" t="s">
        <v>54</v>
      </c>
      <c r="E12" s="52" t="s">
        <v>518</v>
      </c>
      <c r="F12" s="52" t="s">
        <v>519</v>
      </c>
      <c r="G12" s="52" t="s">
        <v>483</v>
      </c>
      <c r="H12" s="52" t="s">
        <v>521</v>
      </c>
      <c r="I12" s="52" t="s">
        <v>520</v>
      </c>
      <c r="J12" s="52" t="s">
        <v>522</v>
      </c>
      <c r="K12" s="52" t="s">
        <v>470</v>
      </c>
      <c r="L12" s="52" t="s">
        <v>523</v>
      </c>
      <c r="M12" s="52" t="s">
        <v>269</v>
      </c>
      <c r="N12" s="52" t="s">
        <v>282</v>
      </c>
      <c r="O12" s="24" t="str">
        <f>IF(OR(M12="",N12=""),"",INDEX('Datos maestros'!$B$162:$F$165,VALUE(LEFT(N12,1)),VALUE(LEFT(M12,1))))</f>
        <v>Alto</v>
      </c>
      <c r="P12" s="52" t="s">
        <v>524</v>
      </c>
      <c r="Q12" s="52" t="s">
        <v>294</v>
      </c>
      <c r="R12" s="24" t="str">
        <f>IF(A12="","",IF(COUNTIF('Tratamiento de riesgos'!$B:$B,A12)&gt;0,"Sí","No"))</f>
        <v>Sí</v>
      </c>
      <c r="S12" s="25" t="str">
        <f t="shared" si="0"/>
        <v>✓ Completo</v>
      </c>
    </row>
    <row r="13" spans="1:19" s="51" customFormat="1" ht="179.4" x14ac:dyDescent="0.3">
      <c r="A13" s="58" t="s">
        <v>363</v>
      </c>
      <c r="B13" s="49" t="s">
        <v>428</v>
      </c>
      <c r="C13" s="50" t="s">
        <v>43</v>
      </c>
      <c r="D13" s="50" t="s">
        <v>58</v>
      </c>
      <c r="E13" s="49" t="s">
        <v>501</v>
      </c>
      <c r="F13" s="49" t="s">
        <v>502</v>
      </c>
      <c r="G13" s="49" t="s">
        <v>483</v>
      </c>
      <c r="H13" s="49" t="s">
        <v>504</v>
      </c>
      <c r="I13" s="49" t="s">
        <v>503</v>
      </c>
      <c r="J13" s="49" t="s">
        <v>511</v>
      </c>
      <c r="K13" s="49" t="s">
        <v>471</v>
      </c>
      <c r="L13" s="49" t="s">
        <v>510</v>
      </c>
      <c r="M13" s="49" t="s">
        <v>271</v>
      </c>
      <c r="N13" s="49" t="s">
        <v>280</v>
      </c>
      <c r="O13" s="24" t="str">
        <f>IF(OR(M13="",N13=""),"",INDEX('Datos maestros'!$B$162:$F$165,VALUE(LEFT(N13,1)),VALUE(LEFT(M13,1))))</f>
        <v>Alto</v>
      </c>
      <c r="P13" s="49" t="s">
        <v>507</v>
      </c>
      <c r="Q13" s="49" t="s">
        <v>293</v>
      </c>
      <c r="R13" s="24" t="str">
        <f>IF(A13="","",IF(COUNTIF('Tratamiento de riesgos'!$B:$B,A13)&gt;0,"Sí","No"))</f>
        <v>Sí</v>
      </c>
      <c r="S13" s="25" t="str">
        <f t="shared" si="0"/>
        <v>✓ Completo</v>
      </c>
    </row>
    <row r="14" spans="1:19" s="51" customFormat="1" ht="207" x14ac:dyDescent="0.3">
      <c r="A14" s="58" t="s">
        <v>364</v>
      </c>
      <c r="B14" s="49" t="s">
        <v>429</v>
      </c>
      <c r="C14" s="50" t="s">
        <v>435</v>
      </c>
      <c r="D14" s="50" t="s">
        <v>56</v>
      </c>
      <c r="E14" s="49" t="s">
        <v>508</v>
      </c>
      <c r="F14" s="49" t="s">
        <v>478</v>
      </c>
      <c r="G14" s="49" t="s">
        <v>483</v>
      </c>
      <c r="H14" s="49" t="s">
        <v>479</v>
      </c>
      <c r="I14" s="49" t="s">
        <v>480</v>
      </c>
      <c r="J14" s="49" t="s">
        <v>481</v>
      </c>
      <c r="K14" s="49" t="s">
        <v>446</v>
      </c>
      <c r="L14" s="52" t="s">
        <v>482</v>
      </c>
      <c r="M14" s="49" t="s">
        <v>271</v>
      </c>
      <c r="N14" s="49" t="s">
        <v>280</v>
      </c>
      <c r="O14" s="24" t="str">
        <f>IF(OR(M14="",N14=""),"",INDEX('Datos maestros'!$B$162:$F$165,VALUE(LEFT(N14,1)),VALUE(LEFT(M14,1))))</f>
        <v>Alto</v>
      </c>
      <c r="P14" s="49" t="s">
        <v>509</v>
      </c>
      <c r="Q14" s="49" t="s">
        <v>293</v>
      </c>
      <c r="R14" s="24" t="str">
        <f>IF(A14="","",IF(COUNTIF('Tratamiento de riesgos'!$B:$B,A14)&gt;0,"Sí","No"))</f>
        <v>Sí</v>
      </c>
      <c r="S14" s="25" t="str">
        <f t="shared" si="0"/>
        <v>✓ Completo</v>
      </c>
    </row>
    <row r="15" spans="1:19" s="51" customFormat="1" ht="239.4" customHeight="1" x14ac:dyDescent="0.3">
      <c r="A15" s="58" t="s">
        <v>365</v>
      </c>
      <c r="B15" s="49" t="s">
        <v>427</v>
      </c>
      <c r="C15" s="50" t="s">
        <v>435</v>
      </c>
      <c r="D15" s="50" t="s">
        <v>54</v>
      </c>
      <c r="E15" s="49" t="s">
        <v>458</v>
      </c>
      <c r="F15" s="49" t="s">
        <v>459</v>
      </c>
      <c r="G15" s="49" t="s">
        <v>483</v>
      </c>
      <c r="H15" s="49" t="s">
        <v>456</v>
      </c>
      <c r="I15" s="49" t="s">
        <v>516</v>
      </c>
      <c r="J15" s="49" t="s">
        <v>457</v>
      </c>
      <c r="K15" s="49" t="s">
        <v>467</v>
      </c>
      <c r="L15" s="49" t="s">
        <v>517</v>
      </c>
      <c r="M15" s="49" t="s">
        <v>267</v>
      </c>
      <c r="N15" s="49" t="s">
        <v>280</v>
      </c>
      <c r="O15" s="24" t="str">
        <f>IF(OR(M15="",N15=""),"",INDEX('Datos maestros'!$B$162:$F$165,VALUE(LEFT(N15,1)),VALUE(LEFT(M15,1))))</f>
        <v>Bajo</v>
      </c>
      <c r="P15" s="49" t="s">
        <v>505</v>
      </c>
      <c r="Q15" s="49" t="s">
        <v>293</v>
      </c>
      <c r="R15" s="24" t="str">
        <f>IF(A15="","",IF(COUNTIF('Tratamiento de riesgos'!$B:$B,A15)&gt;0,"Sí","No"))</f>
        <v>No</v>
      </c>
      <c r="S15" s="25" t="str">
        <f>IF(SUM(COUNTBLANK(B15:C15),COUNTBLANK(E15:F15),COUNTBLANK(M15:N15),COUNTBLANK(Q15))&gt;0,"⚠ Pendiente de completar","✓ Completo")</f>
        <v>✓ Completo</v>
      </c>
    </row>
    <row r="16" spans="1:19" s="55" customFormat="1" ht="138" x14ac:dyDescent="0.3">
      <c r="A16" s="58" t="s">
        <v>448</v>
      </c>
      <c r="B16" s="52" t="s">
        <v>432</v>
      </c>
      <c r="C16" s="53" t="s">
        <v>435</v>
      </c>
      <c r="D16" s="53" t="s">
        <v>56</v>
      </c>
      <c r="E16" s="52" t="s">
        <v>515</v>
      </c>
      <c r="F16" s="52" t="s">
        <v>437</v>
      </c>
      <c r="G16" s="52" t="s">
        <v>483</v>
      </c>
      <c r="H16" s="52" t="s">
        <v>447</v>
      </c>
      <c r="I16" s="52" t="s">
        <v>444</v>
      </c>
      <c r="J16" s="52" t="s">
        <v>445</v>
      </c>
      <c r="K16" s="52" t="s">
        <v>446</v>
      </c>
      <c r="L16" s="52" t="s">
        <v>455</v>
      </c>
      <c r="M16" s="52" t="s">
        <v>271</v>
      </c>
      <c r="N16" s="52" t="s">
        <v>282</v>
      </c>
      <c r="O16" s="26" t="str">
        <f>IF(OR(M16="",N16=""),"",INDEX('Datos maestros'!$B$162:$F$165,VALUE(LEFT(N16,1)),VALUE(LEFT(M16,1))))</f>
        <v>Alto</v>
      </c>
      <c r="P16" s="52" t="s">
        <v>506</v>
      </c>
      <c r="Q16" s="52" t="s">
        <v>293</v>
      </c>
      <c r="R16" s="26" t="str">
        <f>IF(A16="","",IF(COUNTIF('Tratamiento de riesgos'!$B:$B,A16)&gt;0,"Sí","No"))</f>
        <v>Sí</v>
      </c>
      <c r="S16" s="25" t="str">
        <f t="shared" si="0"/>
        <v>✓ Completo</v>
      </c>
    </row>
    <row r="17" spans="1:19" s="51" customFormat="1" ht="193.2" x14ac:dyDescent="0.3">
      <c r="A17" s="58" t="s">
        <v>449</v>
      </c>
      <c r="B17" s="52" t="s">
        <v>428</v>
      </c>
      <c r="C17" s="53" t="s">
        <v>435</v>
      </c>
      <c r="D17" s="53" t="s">
        <v>54</v>
      </c>
      <c r="E17" s="49" t="s">
        <v>451</v>
      </c>
      <c r="F17" s="49" t="s">
        <v>514</v>
      </c>
      <c r="G17" s="52" t="s">
        <v>483</v>
      </c>
      <c r="H17" s="52" t="s">
        <v>452</v>
      </c>
      <c r="I17" s="49" t="s">
        <v>453</v>
      </c>
      <c r="J17" s="49" t="s">
        <v>512</v>
      </c>
      <c r="K17" s="49" t="s">
        <v>446</v>
      </c>
      <c r="L17" s="52" t="s">
        <v>454</v>
      </c>
      <c r="M17" s="49" t="s">
        <v>271</v>
      </c>
      <c r="N17" s="49" t="s">
        <v>278</v>
      </c>
      <c r="O17" s="26" t="str">
        <f>IF(OR(M17="",N17=""),"",INDEX('Datos maestros'!$B$162:$F$165,VALUE(LEFT(N17,1)),VALUE(LEFT(M17,1))))</f>
        <v>Medio</v>
      </c>
      <c r="P17" s="60" t="s">
        <v>513</v>
      </c>
      <c r="Q17" s="49" t="s">
        <v>294</v>
      </c>
      <c r="R17" s="25" t="str">
        <f>IF(A17="","",IF(COUNTIF('Tratamiento de riesgos'!$B:$B,A17)&gt;0,"Sí","No"))</f>
        <v>No</v>
      </c>
      <c r="S17" s="25" t="str">
        <f t="shared" si="0"/>
        <v>✓ Completo</v>
      </c>
    </row>
    <row r="18" spans="1:19" x14ac:dyDescent="0.3">
      <c r="A18" s="22" t="s">
        <v>450</v>
      </c>
      <c r="B18" s="11"/>
      <c r="C18" s="11"/>
      <c r="D18" s="11"/>
      <c r="E18" s="11"/>
      <c r="F18" s="11"/>
      <c r="G18" s="11"/>
      <c r="H18" s="11"/>
      <c r="I18" s="11"/>
      <c r="J18" s="11"/>
      <c r="K18" s="11"/>
      <c r="L18" s="11"/>
      <c r="M18" s="11"/>
      <c r="N18" s="11"/>
      <c r="O18" s="26" t="str">
        <f>IF(OR(M18="",N18=""),"",INDEX('Datos maestros'!$B$162:$F$165,VALUE(LEFT(N18,1)),VALUE(LEFT(M18,1))))</f>
        <v/>
      </c>
      <c r="P18" s="11"/>
      <c r="Q18" s="11"/>
      <c r="R18" s="26"/>
      <c r="S18" s="25"/>
    </row>
    <row r="19" spans="1:19" x14ac:dyDescent="0.3">
      <c r="A19" s="22" t="s">
        <v>484</v>
      </c>
      <c r="B19" s="11"/>
      <c r="C19" s="11"/>
      <c r="D19" s="11"/>
      <c r="E19" s="11"/>
      <c r="F19" s="11"/>
      <c r="G19" s="11"/>
      <c r="H19" s="11"/>
      <c r="I19" s="11"/>
      <c r="J19" s="11"/>
      <c r="K19" s="11"/>
      <c r="L19" s="11"/>
      <c r="M19" s="11"/>
      <c r="N19" s="11"/>
      <c r="O19" s="26" t="str">
        <f>IF(OR(M19="",N19=""),"",INDEX('Datos maestros'!$B$162:$F$165,VALUE(LEFT(N19,1)),VALUE(LEFT(M19,1))))</f>
        <v/>
      </c>
      <c r="P19" s="11"/>
      <c r="Q19" s="11"/>
      <c r="R19" s="26"/>
      <c r="S19" s="25"/>
    </row>
    <row r="20" spans="1:19" x14ac:dyDescent="0.3">
      <c r="A20" s="22" t="s">
        <v>485</v>
      </c>
      <c r="B20" s="11"/>
      <c r="C20" s="11"/>
      <c r="D20" s="11"/>
      <c r="E20" s="11"/>
      <c r="F20" s="11"/>
      <c r="G20" s="11"/>
      <c r="H20" s="11"/>
      <c r="I20" s="11"/>
      <c r="J20" s="11"/>
      <c r="K20" s="11"/>
      <c r="L20" s="11"/>
      <c r="M20" s="11"/>
      <c r="N20" s="11"/>
      <c r="O20" s="26" t="str">
        <f>IF(OR(M20="",N20=""),"",INDEX('Datos maestros'!$B$162:$F$165,VALUE(LEFT(N20,1)),VALUE(LEFT(M20,1))))</f>
        <v/>
      </c>
      <c r="P20" s="11"/>
      <c r="Q20" s="11"/>
      <c r="R20" s="26"/>
      <c r="S20" s="25"/>
    </row>
    <row r="21" spans="1:19" x14ac:dyDescent="0.3">
      <c r="A21" s="22" t="s">
        <v>486</v>
      </c>
      <c r="B21" s="11"/>
      <c r="C21" s="11"/>
      <c r="D21" s="11"/>
      <c r="E21" s="11"/>
      <c r="F21" s="11"/>
      <c r="G21" s="11"/>
      <c r="H21" s="11"/>
      <c r="I21" s="11"/>
      <c r="J21" s="11"/>
      <c r="K21" s="11"/>
      <c r="L21" s="11"/>
      <c r="M21" s="11"/>
      <c r="N21" s="11"/>
      <c r="O21" s="26" t="str">
        <f>IF(OR(M21="",N21=""),"",INDEX('Datos maestros'!$B$162:$F$165,VALUE(LEFT(N21,1)),VALUE(LEFT(M21,1))))</f>
        <v/>
      </c>
      <c r="P21" s="11"/>
      <c r="Q21" s="11"/>
      <c r="R21" s="26"/>
      <c r="S21" s="25"/>
    </row>
    <row r="22" spans="1:19" x14ac:dyDescent="0.3">
      <c r="A22" s="22" t="s">
        <v>487</v>
      </c>
      <c r="B22" s="11"/>
      <c r="C22" s="11"/>
      <c r="D22" s="11"/>
      <c r="E22" s="11"/>
      <c r="F22" s="11"/>
      <c r="G22" s="11"/>
      <c r="H22" s="11"/>
      <c r="I22" s="11"/>
      <c r="J22" s="11"/>
      <c r="K22" s="11"/>
      <c r="L22" s="11"/>
      <c r="M22" s="11"/>
      <c r="N22" s="11"/>
      <c r="O22" s="26" t="str">
        <f>IF(OR(M22="",N22=""),"",INDEX('Datos maestros'!$B$162:$F$165,VALUE(LEFT(N22,1)),VALUE(LEFT(M22,1))))</f>
        <v/>
      </c>
      <c r="P22" s="11"/>
      <c r="Q22" s="11"/>
      <c r="R22" s="26"/>
      <c r="S22" s="25"/>
    </row>
    <row r="23" spans="1:19" x14ac:dyDescent="0.3">
      <c r="A23" s="22" t="s">
        <v>488</v>
      </c>
      <c r="B23" s="11"/>
      <c r="C23" s="11"/>
      <c r="D23" s="11"/>
      <c r="E23" s="11"/>
      <c r="F23" s="11"/>
      <c r="G23" s="11"/>
      <c r="H23" s="11"/>
      <c r="I23" s="11"/>
      <c r="J23" s="11"/>
      <c r="K23" s="11"/>
      <c r="L23" s="11"/>
      <c r="M23" s="11"/>
      <c r="N23" s="11"/>
      <c r="O23" s="26" t="str">
        <f>IF(OR(M23="",N23=""),"",INDEX('Datos maestros'!$B$162:$F$165,VALUE(LEFT(N23,1)),VALUE(LEFT(M23,1))))</f>
        <v/>
      </c>
      <c r="P23" s="11"/>
      <c r="Q23" s="11"/>
      <c r="R23" s="26"/>
      <c r="S23" s="25"/>
    </row>
    <row r="24" spans="1:19" x14ac:dyDescent="0.3">
      <c r="A24" s="22" t="s">
        <v>489</v>
      </c>
      <c r="B24" s="11"/>
      <c r="C24" s="11"/>
      <c r="D24" s="11"/>
      <c r="E24" s="11"/>
      <c r="F24" s="11"/>
      <c r="G24" s="11"/>
      <c r="H24" s="11"/>
      <c r="I24" s="11"/>
      <c r="J24" s="11"/>
      <c r="K24" s="11"/>
      <c r="L24" s="11"/>
      <c r="M24" s="11"/>
      <c r="N24" s="49"/>
      <c r="O24" s="26"/>
      <c r="P24" s="11"/>
      <c r="Q24" s="11"/>
      <c r="R24" s="26"/>
      <c r="S24" s="25"/>
    </row>
    <row r="25" spans="1:19" x14ac:dyDescent="0.3">
      <c r="A25" s="22" t="s">
        <v>490</v>
      </c>
      <c r="B25" s="11"/>
      <c r="C25" s="11"/>
      <c r="D25" s="11"/>
      <c r="E25" s="11"/>
      <c r="F25" s="11"/>
      <c r="G25" s="11"/>
      <c r="H25" s="11"/>
      <c r="I25" s="11"/>
      <c r="J25" s="11"/>
      <c r="K25" s="11"/>
      <c r="L25" s="11"/>
      <c r="M25" s="11"/>
      <c r="N25" s="11"/>
      <c r="O25" s="26" t="str">
        <f>IF(OR(M25="",N25=""),"",INDEX('Datos maestros'!$B$162:$F$165,VALUE(LEFT(N25,1)),VALUE(LEFT(M25,1))))</f>
        <v/>
      </c>
      <c r="P25" s="11"/>
      <c r="Q25" s="11"/>
      <c r="R25" s="26"/>
      <c r="S25" s="25"/>
    </row>
    <row r="26" spans="1:19" x14ac:dyDescent="0.3">
      <c r="A26" s="22" t="s">
        <v>491</v>
      </c>
      <c r="B26" s="11"/>
      <c r="C26" s="11"/>
      <c r="D26" s="11"/>
      <c r="E26" s="11"/>
      <c r="F26" s="11"/>
      <c r="G26" s="11"/>
      <c r="H26" s="11"/>
      <c r="I26" s="11"/>
      <c r="J26" s="11"/>
      <c r="K26" s="11"/>
      <c r="L26" s="11"/>
      <c r="M26" s="11"/>
      <c r="N26" s="11"/>
      <c r="O26" s="26" t="str">
        <f>IF(OR(M26="",N26=""),"",INDEX('Datos maestros'!$B$162:$F$165,VALUE(LEFT(N26,1)),VALUE(LEFT(M26,1))))</f>
        <v/>
      </c>
      <c r="P26" s="11"/>
      <c r="Q26" s="11"/>
      <c r="R26" s="26"/>
      <c r="S26" s="25"/>
    </row>
    <row r="27" spans="1:19" x14ac:dyDescent="0.3">
      <c r="A27" s="22" t="s">
        <v>492</v>
      </c>
      <c r="B27" s="11"/>
      <c r="C27" s="11"/>
      <c r="D27" s="11"/>
      <c r="E27" s="11"/>
      <c r="F27" s="11"/>
      <c r="G27" s="11"/>
      <c r="H27" s="11"/>
      <c r="I27" s="11"/>
      <c r="J27" s="11"/>
      <c r="K27" s="11"/>
      <c r="L27" s="11"/>
      <c r="M27" s="11"/>
      <c r="N27" s="11"/>
      <c r="O27" s="26" t="str">
        <f>IF(OR(M27="",N27=""),"",INDEX('Datos maestros'!$B$162:$F$165,VALUE(LEFT(N27,1)),VALUE(LEFT(M27,1))))</f>
        <v/>
      </c>
      <c r="P27" s="11"/>
      <c r="Q27" s="11"/>
      <c r="R27" s="26"/>
      <c r="S27" s="25"/>
    </row>
    <row r="28" spans="1:19" x14ac:dyDescent="0.3">
      <c r="A28" s="22" t="s">
        <v>493</v>
      </c>
      <c r="B28" s="11"/>
      <c r="C28" s="11"/>
      <c r="D28" s="11"/>
      <c r="E28" s="11"/>
      <c r="F28" s="11"/>
      <c r="G28" s="11"/>
      <c r="H28" s="11"/>
      <c r="I28" s="11"/>
      <c r="J28" s="11"/>
      <c r="K28" s="11"/>
      <c r="L28" s="11"/>
      <c r="M28" s="11"/>
      <c r="N28" s="11"/>
      <c r="O28" s="26" t="str">
        <f>IF(OR(M28="",N28=""),"",INDEX('Datos maestros'!$B$162:$F$165,VALUE(LEFT(N28,1)),VALUE(LEFT(M28,1))))</f>
        <v/>
      </c>
      <c r="P28" s="11"/>
      <c r="Q28" s="11"/>
      <c r="R28" s="26"/>
      <c r="S28" s="25"/>
    </row>
    <row r="29" spans="1:19" x14ac:dyDescent="0.3">
      <c r="A29" s="22" t="s">
        <v>494</v>
      </c>
      <c r="B29" s="11"/>
      <c r="C29" s="11"/>
      <c r="D29" s="11"/>
      <c r="E29" s="11"/>
      <c r="F29" s="11"/>
      <c r="G29" s="11"/>
      <c r="H29" s="11"/>
      <c r="I29" s="11"/>
      <c r="J29" s="11"/>
      <c r="K29" s="11"/>
      <c r="L29" s="11"/>
      <c r="M29" s="11"/>
      <c r="N29" s="11"/>
      <c r="O29" s="26" t="str">
        <f>IF(OR(M29="",N29=""),"",INDEX('Datos maestros'!$B$162:$F$165,VALUE(LEFT(N29,1)),VALUE(LEFT(M29,1))))</f>
        <v/>
      </c>
      <c r="P29" s="11"/>
      <c r="Q29" s="11"/>
      <c r="R29" s="26"/>
      <c r="S29" s="25"/>
    </row>
    <row r="30" spans="1:19" x14ac:dyDescent="0.3">
      <c r="A30" s="22" t="s">
        <v>495</v>
      </c>
      <c r="B30" s="11"/>
      <c r="C30" s="11"/>
      <c r="D30" s="11"/>
      <c r="E30" s="11"/>
      <c r="F30" s="11"/>
      <c r="G30" s="11"/>
      <c r="H30" s="11"/>
      <c r="I30" s="11"/>
      <c r="J30" s="11"/>
      <c r="K30" s="11"/>
      <c r="L30" s="11"/>
      <c r="M30" s="11"/>
      <c r="N30" s="11"/>
      <c r="O30" s="26" t="str">
        <f>IF(OR(M30="",N30=""),"",INDEX('Datos maestros'!$B$162:$F$165,VALUE(LEFT(N30,1)),VALUE(LEFT(M30,1))))</f>
        <v/>
      </c>
      <c r="P30" s="11"/>
      <c r="Q30" s="11"/>
      <c r="R30" s="26"/>
      <c r="S30" s="25"/>
    </row>
    <row r="31" spans="1:19" x14ac:dyDescent="0.3">
      <c r="A31" s="22" t="s">
        <v>496</v>
      </c>
      <c r="B31" s="11"/>
      <c r="C31" s="11"/>
      <c r="D31" s="11"/>
      <c r="E31" s="11"/>
      <c r="F31" s="11"/>
      <c r="G31" s="11"/>
      <c r="H31" s="11"/>
      <c r="I31" s="11"/>
      <c r="J31" s="11"/>
      <c r="K31" s="11"/>
      <c r="L31" s="11"/>
      <c r="M31" s="11"/>
      <c r="N31" s="11"/>
      <c r="O31" s="26" t="str">
        <f>IF(OR(M31="",N31=""),"",INDEX('Datos maestros'!$B$162:$F$165,VALUE(LEFT(N31,1)),VALUE(LEFT(M31,1))))</f>
        <v/>
      </c>
      <c r="P31" s="11"/>
      <c r="Q31" s="11"/>
      <c r="R31" s="26"/>
      <c r="S31" s="25"/>
    </row>
    <row r="32" spans="1:19" x14ac:dyDescent="0.3">
      <c r="A32" s="22" t="s">
        <v>497</v>
      </c>
      <c r="B32" s="11"/>
      <c r="C32" s="11"/>
      <c r="D32" s="11"/>
      <c r="E32" s="11"/>
      <c r="F32" s="11"/>
      <c r="G32" s="11"/>
      <c r="H32" s="11"/>
      <c r="I32" s="11"/>
      <c r="J32" s="11"/>
      <c r="K32" s="11"/>
      <c r="L32" s="11"/>
      <c r="M32" s="11"/>
      <c r="N32" s="11"/>
      <c r="O32" s="26" t="str">
        <f>IF(OR(M32="",N32=""),"",INDEX('Datos maestros'!$B$162:$F$165,VALUE(LEFT(N32,1)),VALUE(LEFT(M32,1))))</f>
        <v/>
      </c>
      <c r="P32" s="11"/>
      <c r="Q32" s="11"/>
      <c r="R32" s="26"/>
      <c r="S32" s="25"/>
    </row>
    <row r="33" spans="1:19" x14ac:dyDescent="0.3">
      <c r="A33" s="22" t="s">
        <v>498</v>
      </c>
      <c r="B33" s="11"/>
      <c r="C33" s="11"/>
      <c r="D33" s="11"/>
      <c r="E33" s="11"/>
      <c r="F33" s="11"/>
      <c r="G33" s="11"/>
      <c r="H33" s="11"/>
      <c r="I33" s="11"/>
      <c r="J33" s="11"/>
      <c r="K33" s="11"/>
      <c r="L33" s="11"/>
      <c r="M33" s="11"/>
      <c r="N33" s="11"/>
      <c r="O33" s="26" t="str">
        <f>IF(OR(M33="",N33=""),"",INDEX('Datos maestros'!$B$162:$F$165,VALUE(LEFT(N33,1)),VALUE(LEFT(M33,1))))</f>
        <v/>
      </c>
      <c r="P33" s="11"/>
      <c r="Q33" s="11"/>
      <c r="R33" s="26"/>
      <c r="S33" s="25"/>
    </row>
    <row r="34" spans="1:19" x14ac:dyDescent="0.3">
      <c r="A34" s="22" t="s">
        <v>499</v>
      </c>
      <c r="B34" s="11"/>
      <c r="C34" s="11"/>
      <c r="D34" s="11"/>
      <c r="E34" s="11"/>
      <c r="F34" s="11"/>
      <c r="G34" s="11"/>
      <c r="H34" s="11"/>
      <c r="I34" s="11"/>
      <c r="J34" s="11"/>
      <c r="K34" s="11"/>
      <c r="L34" s="11"/>
      <c r="M34" s="11"/>
      <c r="N34" s="11"/>
      <c r="O34" s="26" t="str">
        <f>IF(OR(M34="",N34=""),"",INDEX('Datos maestros'!$B$162:$F$165,VALUE(LEFT(N34,1)),VALUE(LEFT(M34,1))))</f>
        <v/>
      </c>
      <c r="P34" s="11"/>
      <c r="Q34" s="11"/>
      <c r="R34" s="26"/>
      <c r="S34" s="25"/>
    </row>
    <row r="35" spans="1:19" x14ac:dyDescent="0.3">
      <c r="A35" s="22" t="s">
        <v>500</v>
      </c>
      <c r="B35" s="11"/>
      <c r="C35" s="11"/>
      <c r="D35" s="11"/>
      <c r="E35" s="11"/>
      <c r="F35" s="11"/>
      <c r="G35" s="11"/>
      <c r="H35" s="11"/>
      <c r="I35" s="11"/>
      <c r="J35" s="11"/>
      <c r="K35" s="11"/>
      <c r="L35" s="11"/>
      <c r="M35" s="11"/>
      <c r="N35" s="11"/>
      <c r="O35" s="26" t="str">
        <f>IF(OR(M35="",N35=""),"",INDEX('Datos maestros'!$B$162:$F$165,VALUE(LEFT(N35,1)),VALUE(LEFT(M35,1))))</f>
        <v/>
      </c>
      <c r="P35" s="11"/>
      <c r="Q35" s="11"/>
      <c r="R35" s="26"/>
      <c r="S35" s="25"/>
    </row>
  </sheetData>
  <mergeCells count="5">
    <mergeCell ref="A1:S1"/>
    <mergeCell ref="A2:S2"/>
    <mergeCell ref="B3:I3"/>
    <mergeCell ref="M3:Q3"/>
    <mergeCell ref="R3:S3"/>
  </mergeCells>
  <phoneticPr fontId="18" type="noConversion"/>
  <conditionalFormatting sqref="O5:O35">
    <cfRule type="cellIs" dxfId="16" priority="2" operator="equal">
      <formula>"Muy bajo"</formula>
    </cfRule>
    <cfRule type="cellIs" dxfId="15" priority="3" operator="equal">
      <formula>"Bajo"</formula>
    </cfRule>
    <cfRule type="cellIs" dxfId="14" priority="4" operator="equal">
      <formula>"Medio"</formula>
    </cfRule>
    <cfRule type="cellIs" dxfId="13" priority="5" operator="equal">
      <formula>"Alto"</formula>
    </cfRule>
    <cfRule type="cellIs" dxfId="12" priority="6" operator="equal">
      <formula>"Muy alto"</formula>
    </cfRule>
  </conditionalFormatting>
  <conditionalFormatting sqref="R5:R35">
    <cfRule type="expression" dxfId="11" priority="9">
      <formula>AND($R5="No",OR($O5="Alto",$O5="Muy alto"))</formula>
    </cfRule>
  </conditionalFormatting>
  <conditionalFormatting sqref="S5:S35">
    <cfRule type="cellIs" dxfId="10" priority="7" operator="equal">
      <formula>"⚠ Pendiente de completar"</formula>
    </cfRule>
    <cfRule type="cellIs" dxfId="9" priority="8" operator="equal">
      <formula>"✓ Completo"</formula>
    </cfRule>
  </conditionalFormatting>
  <pageMargins left="0.75" right="0.75" top="1" bottom="1" header="0.511811023622047" footer="0.511811023622047"/>
  <pageSetup paperSize="9" orientation="portrait" horizontalDpi="300" verticalDpi="300"/>
  <headerFooter>
    <oddHeader>&amp;R&amp;"Aptos"&amp;10&amp;K000000 Uso interno&amp;1#_x000D_</oddHeader>
  </headerFooter>
  <extLst>
    <ext xmlns:x14="http://schemas.microsoft.com/office/spreadsheetml/2009/9/main" uri="{CCE6A557-97BC-4b89-ADB6-D9C93CAAB3DF}">
      <x14:dataValidations xmlns:xm="http://schemas.microsoft.com/office/excel/2006/main" count="8">
        <x14:dataValidation type="list" allowBlank="1" xr:uid="{00000000-0002-0000-0200-000000000000}">
          <x14:formula1>
            <xm:f>'Datos maestros'!$A$5:$A$7</xm:f>
          </x14:formula1>
          <x14:formula2>
            <xm:f>0</xm:f>
          </x14:formula2>
          <xm:sqref>B18:B35</xm:sqref>
        </x14:dataValidation>
        <x14:dataValidation type="list" allowBlank="1" xr:uid="{00000000-0002-0000-0200-000001000000}">
          <x14:formula1>
            <xm:f>'Datos maestros'!$A$19:$A$22</xm:f>
          </x14:formula1>
          <x14:formula2>
            <xm:f>0</xm:f>
          </x14:formula2>
          <xm:sqref>C5:C35</xm:sqref>
        </x14:dataValidation>
        <x14:dataValidation type="list" allowBlank="1" xr:uid="{00000000-0002-0000-0200-000002000000}">
          <x14:formula1>
            <xm:f>'Datos maestros'!$A$26:$A$32</xm:f>
          </x14:formula1>
          <x14:formula2>
            <xm:f>0</xm:f>
          </x14:formula2>
          <xm:sqref>D5:D35</xm:sqref>
        </x14:dataValidation>
        <x14:dataValidation type="list" allowBlank="1" xr:uid="{00000000-0002-0000-0200-000003000000}">
          <x14:formula1>
            <xm:f>'Datos maestros'!$A$146:$A$150</xm:f>
          </x14:formula1>
          <x14:formula2>
            <xm:f>0</xm:f>
          </x14:formula2>
          <xm:sqref>M5:M35</xm:sqref>
        </x14:dataValidation>
        <x14:dataValidation type="list" allowBlank="1" xr:uid="{00000000-0002-0000-0200-000004000000}">
          <x14:formula1>
            <xm:f>'Datos maestros'!$A$154:$A$157</xm:f>
          </x14:formula1>
          <x14:formula2>
            <xm:f>0</xm:f>
          </x14:formula2>
          <xm:sqref>N5:N35</xm:sqref>
        </x14:dataValidation>
        <x14:dataValidation type="list" allowBlank="1" xr:uid="{00000000-0002-0000-0200-000005000000}">
          <x14:formula1>
            <xm:f>'Datos maestros'!$A$169:$A$192</xm:f>
          </x14:formula1>
          <x14:formula2>
            <xm:f>0</xm:f>
          </x14:formula2>
          <xm:sqref>Q5:Q35</xm:sqref>
        </x14:dataValidation>
        <x14:dataValidation type="list" allowBlank="1" xr:uid="{0B14A246-86B6-436F-AFEF-7CEE5A56E207}">
          <x14:formula1>
            <xm:f>'Datos maestros'!$A$5:$A$15</xm:f>
          </x14:formula1>
          <xm:sqref>B5:B17</xm:sqref>
        </x14:dataValidation>
        <x14:dataValidation type="list" allowBlank="1" showInputMessage="1" showErrorMessage="1" xr:uid="{CC3C1720-4BB1-4149-B7C0-9BAAF7C5AE47}">
          <x14:formula1>
            <xm:f>'Datos maestros'!$A$137:$A$142</xm:f>
          </x14:formula1>
          <xm:sqref>K5:K35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5"/>
  <sheetViews>
    <sheetView showGridLines="0" topLeftCell="A11" zoomScaleNormal="100" workbookViewId="0">
      <selection activeCell="E7" sqref="E7"/>
    </sheetView>
  </sheetViews>
  <sheetFormatPr baseColWidth="10" defaultColWidth="8.6640625" defaultRowHeight="14.4" x14ac:dyDescent="0.3"/>
  <cols>
    <col min="1" max="1" width="22" customWidth="1"/>
    <col min="2" max="6" width="16" customWidth="1"/>
  </cols>
  <sheetData>
    <row r="1" spans="1:8" ht="25.5" customHeight="1" x14ac:dyDescent="0.3">
      <c r="A1" s="70" t="s">
        <v>420</v>
      </c>
      <c r="B1" s="70"/>
      <c r="C1" s="70"/>
      <c r="D1" s="70"/>
      <c r="E1" s="70"/>
      <c r="F1" s="70"/>
      <c r="G1" s="70"/>
      <c r="H1" s="70"/>
    </row>
    <row r="3" spans="1:8" x14ac:dyDescent="0.3">
      <c r="A3" s="79" t="s">
        <v>421</v>
      </c>
      <c r="B3" s="79"/>
      <c r="C3" s="79"/>
      <c r="D3" s="79"/>
      <c r="E3" s="79"/>
      <c r="F3" s="79"/>
      <c r="G3" s="79"/>
      <c r="H3" s="79"/>
    </row>
    <row r="5" spans="1:8" x14ac:dyDescent="0.3">
      <c r="B5" s="14" t="s">
        <v>284</v>
      </c>
    </row>
    <row r="6" spans="1:8" ht="30" customHeight="1" x14ac:dyDescent="0.3">
      <c r="A6" s="14" t="s">
        <v>285</v>
      </c>
      <c r="B6" s="15" t="s">
        <v>265</v>
      </c>
      <c r="C6" s="15" t="s">
        <v>267</v>
      </c>
      <c r="D6" s="15" t="s">
        <v>269</v>
      </c>
      <c r="E6" s="15" t="s">
        <v>271</v>
      </c>
      <c r="F6" s="15" t="s">
        <v>273</v>
      </c>
    </row>
    <row r="7" spans="1:8" ht="33.75" customHeight="1" x14ac:dyDescent="0.3">
      <c r="A7" s="29" t="s">
        <v>276</v>
      </c>
      <c r="B7" s="30">
        <f>COUNTIFS('Matriz de riesgos'!$M$5:$M$35,"1 - Menor",'Matriz de riesgos'!$N$5:$N$35,"1 - Improbable")</f>
        <v>0</v>
      </c>
      <c r="C7" s="30">
        <f>COUNTIFS('Matriz de riesgos'!$M$5:$M$35,"2 - Significativo",'Matriz de riesgos'!$N$5:$N$35,"1 - Improbable")</f>
        <v>0</v>
      </c>
      <c r="D7" s="31">
        <f>COUNTIFS('Matriz de riesgos'!$M$5:$M$35,"3 - Serio",'Matriz de riesgos'!$N$5:$N$35,"1 - Improbable")</f>
        <v>0</v>
      </c>
      <c r="E7" s="31">
        <f>COUNTIFS('Matriz de riesgos'!$M$5:$M$35,"4 - Crítico",'Matriz de riesgos'!$N$5:$N$35,"1 - Improbable")</f>
        <v>0</v>
      </c>
      <c r="F7" s="31">
        <f>COUNTIFS('Matriz de riesgos'!$M$5:$M$35,"5 - Catastrófico",'Matriz de riesgos'!$N$5:$N$35,"1 - Improbable")</f>
        <v>0</v>
      </c>
    </row>
    <row r="8" spans="1:8" ht="33.75" customHeight="1" x14ac:dyDescent="0.3">
      <c r="A8" s="29" t="s">
        <v>278</v>
      </c>
      <c r="B8" s="30">
        <f>COUNTIFS('Matriz de riesgos'!$M$5:$M$35,"1 - Menor",'Matriz de riesgos'!$N$5:$N$35,"2 – Bastante improbable")</f>
        <v>0</v>
      </c>
      <c r="C8" s="31">
        <f>COUNTIFS('Matriz de riesgos'!$M$5:$M$35,"2 - Significativo",'Matriz de riesgos'!$N$5:$N$35,"2 – Bastante improbable")</f>
        <v>0</v>
      </c>
      <c r="D8" s="31">
        <f>COUNTIFS('Matriz de riesgos'!$M$5:$M$35,"3 - Serio",'Matriz de riesgos'!$N$5:$N$35,"2 – Bastante improbable")</f>
        <v>0</v>
      </c>
      <c r="E8" s="32">
        <f>COUNTIFS('Matriz de riesgos'!$M$5:$M$35,"4 - Crítico",'Matriz de riesgos'!$N$5:$N$35,"2 – Bastante improbable")</f>
        <v>2</v>
      </c>
      <c r="F8" s="32">
        <f>COUNTIFS('Matriz de riesgos'!$M$5:$M$35,"5 - Catastrófico",'Matriz de riesgos'!$N$5:$N$35,"2 – Bastante improbable")</f>
        <v>0</v>
      </c>
    </row>
    <row r="9" spans="1:8" ht="33.75" customHeight="1" x14ac:dyDescent="0.3">
      <c r="A9" s="29" t="s">
        <v>280</v>
      </c>
      <c r="B9" s="31">
        <f>COUNTIFS('Matriz de riesgos'!$M$5:$M$35,"1 - Menor",'Matriz de riesgos'!$N$5:$N$35,"3 - Probable")</f>
        <v>0</v>
      </c>
      <c r="C9" s="31">
        <f>COUNTIFS('Matriz de riesgos'!$M$5:$M$35,"2 - Significativo",'Matriz de riesgos'!$N$5:$N$35,"3 - Probable")</f>
        <v>1</v>
      </c>
      <c r="D9" s="32">
        <f>COUNTIFS('Matriz de riesgos'!$M$5:$M$35,"3 - Serio",'Matriz de riesgos'!$N$5:$N$35,"3 - Probable")</f>
        <v>1</v>
      </c>
      <c r="E9" s="33">
        <f>COUNTIFS('Matriz de riesgos'!$M$5:$M$35,"4 - Crítico",'Matriz de riesgos'!$N$5:$N$35,"3 - Probable")</f>
        <v>5</v>
      </c>
      <c r="F9" s="33">
        <f>COUNTIFS('Matriz de riesgos'!$M$5:$M$35,"5 - Catastrófico",'Matriz de riesgos'!$N$5:$N$35,"3 - Probable")</f>
        <v>0</v>
      </c>
    </row>
    <row r="10" spans="1:8" ht="33.75" customHeight="1" x14ac:dyDescent="0.3">
      <c r="A10" s="29" t="s">
        <v>282</v>
      </c>
      <c r="B10" s="31">
        <f>COUNTIFS('Matriz de riesgos'!$M$5:$M$35,"1 - Menor",'Matriz de riesgos'!$N$5:$N$35,"4 – Muy probable")</f>
        <v>0</v>
      </c>
      <c r="C10" s="32">
        <f>COUNTIFS('Matriz de riesgos'!$M$5:$M$35,"2 - Significativo",'Matriz de riesgos'!$N$5:$N$35,"4 – Muy probable")</f>
        <v>0</v>
      </c>
      <c r="D10" s="33">
        <f>COUNTIFS('Matriz de riesgos'!$M$5:$M$35,"3 - Serio",'Matriz de riesgos'!$N$5:$N$35,"4 – Muy probable")</f>
        <v>2</v>
      </c>
      <c r="E10" s="33">
        <f>COUNTIFS('Matriz de riesgos'!$M$5:$M$35,"4 - Crítico",'Matriz de riesgos'!$N$5:$N$35,"4 – Muy probable")</f>
        <v>2</v>
      </c>
      <c r="F10" s="34">
        <f>COUNTIFS('Matriz de riesgos'!$M$5:$M$35,"5 - Catastrófico",'Matriz de riesgos'!$N$5:$N$35,"4 – Muy probable")</f>
        <v>0</v>
      </c>
    </row>
    <row r="13" spans="1:8" x14ac:dyDescent="0.3">
      <c r="A13" s="14" t="s">
        <v>422</v>
      </c>
    </row>
    <row r="14" spans="1:8" x14ac:dyDescent="0.3">
      <c r="A14" s="35" t="s">
        <v>27</v>
      </c>
      <c r="B14" s="36" t="s">
        <v>286</v>
      </c>
    </row>
    <row r="15" spans="1:8" x14ac:dyDescent="0.3">
      <c r="A15" s="37" t="s">
        <v>27</v>
      </c>
      <c r="B15" s="36" t="s">
        <v>287</v>
      </c>
    </row>
    <row r="16" spans="1:8" x14ac:dyDescent="0.3">
      <c r="A16" s="38" t="s">
        <v>27</v>
      </c>
      <c r="B16" s="36" t="s">
        <v>288</v>
      </c>
    </row>
    <row r="17" spans="1:2" x14ac:dyDescent="0.3">
      <c r="A17" s="39" t="s">
        <v>27</v>
      </c>
      <c r="B17" s="36" t="s">
        <v>289</v>
      </c>
    </row>
    <row r="18" spans="1:2" x14ac:dyDescent="0.3">
      <c r="A18" s="40" t="s">
        <v>27</v>
      </c>
      <c r="B18" s="36" t="s">
        <v>290</v>
      </c>
    </row>
    <row r="20" spans="1:2" x14ac:dyDescent="0.3">
      <c r="A20" s="14" t="s">
        <v>423</v>
      </c>
    </row>
    <row r="21" spans="1:2" x14ac:dyDescent="0.3">
      <c r="A21" s="41" t="s">
        <v>286</v>
      </c>
      <c r="B21" s="42">
        <f>COUNTIF('Matriz de riesgos'!$O$5:$O$35,"Muy bajo")</f>
        <v>0</v>
      </c>
    </row>
    <row r="22" spans="1:2" x14ac:dyDescent="0.3">
      <c r="A22" s="43" t="s">
        <v>287</v>
      </c>
      <c r="B22" s="42">
        <f>COUNTIF('Matriz de riesgos'!$O$5:$O$35,"Bajo")</f>
        <v>1</v>
      </c>
    </row>
    <row r="23" spans="1:2" x14ac:dyDescent="0.3">
      <c r="A23" s="44" t="s">
        <v>288</v>
      </c>
      <c r="B23" s="42">
        <f>COUNTIF('Matriz de riesgos'!$O$5:$O$35,"Medio")</f>
        <v>3</v>
      </c>
    </row>
    <row r="24" spans="1:2" x14ac:dyDescent="0.3">
      <c r="A24" s="45" t="s">
        <v>289</v>
      </c>
      <c r="B24" s="42">
        <f>COUNTIF('Matriz de riesgos'!$O$5:$O$35,"Alto")</f>
        <v>9</v>
      </c>
    </row>
    <row r="25" spans="1:2" x14ac:dyDescent="0.3">
      <c r="A25" s="46" t="s">
        <v>290</v>
      </c>
      <c r="B25" s="42">
        <f>COUNTIF('Matriz de riesgos'!$O$5:$O$35,"Muy alto")</f>
        <v>0</v>
      </c>
    </row>
    <row r="28" spans="1:2" x14ac:dyDescent="0.3">
      <c r="A28" s="14" t="s">
        <v>424</v>
      </c>
    </row>
    <row r="29" spans="1:2" x14ac:dyDescent="0.3">
      <c r="A29" s="36" t="s">
        <v>50</v>
      </c>
      <c r="B29" s="42">
        <f>COUNTIF('Matriz de riesgos'!$D$5:$D$35,"Estratégico")</f>
        <v>0</v>
      </c>
    </row>
    <row r="30" spans="1:2" x14ac:dyDescent="0.3">
      <c r="A30" s="36" t="s">
        <v>52</v>
      </c>
      <c r="B30" s="42">
        <f>COUNTIF('Matriz de riesgos'!$D$5:$D$35,"Financiero")</f>
        <v>2</v>
      </c>
    </row>
    <row r="31" spans="1:2" x14ac:dyDescent="0.3">
      <c r="A31" s="36" t="s">
        <v>54</v>
      </c>
      <c r="B31" s="42">
        <f>COUNTIF('Matriz de riesgos'!$D$5:$D$35,"Operativo")</f>
        <v>6</v>
      </c>
    </row>
    <row r="32" spans="1:2" x14ac:dyDescent="0.3">
      <c r="A32" s="36" t="s">
        <v>56</v>
      </c>
      <c r="B32" s="42">
        <f>COUNTIF('Matriz de riesgos'!$D$5:$D$35,"Tecnológico")</f>
        <v>3</v>
      </c>
    </row>
    <row r="33" spans="1:2" x14ac:dyDescent="0.3">
      <c r="A33" s="36" t="s">
        <v>58</v>
      </c>
      <c r="B33" s="42">
        <f>COUNTIF('Matriz de riesgos'!$D$5:$D$35,"Legal / Normativo")</f>
        <v>2</v>
      </c>
    </row>
    <row r="34" spans="1:2" x14ac:dyDescent="0.3">
      <c r="A34" s="36" t="s">
        <v>60</v>
      </c>
      <c r="B34" s="42">
        <f>COUNTIF('Matriz de riesgos'!$D$5:$D$35,"Reputacional")</f>
        <v>0</v>
      </c>
    </row>
    <row r="35" spans="1:2" x14ac:dyDescent="0.3">
      <c r="A35" s="36" t="s">
        <v>62</v>
      </c>
      <c r="B35" s="42">
        <f>COUNTIF('Matriz de riesgos'!$D$5:$D$35,"Político")</f>
        <v>0</v>
      </c>
    </row>
  </sheetData>
  <mergeCells count="2">
    <mergeCell ref="A1:H1"/>
    <mergeCell ref="A3:H3"/>
  </mergeCells>
  <pageMargins left="0.75" right="0.75" top="1" bottom="1" header="0.511811023622047" footer="0.511811023622047"/>
  <pageSetup paperSize="9" orientation="portrait" horizontalDpi="300" verticalDpi="300"/>
  <headerFooter>
    <oddHeader>&amp;R&amp;"Aptos"&amp;10&amp;K000000 Uso interno&amp;1#_x000D_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45"/>
  <sheetViews>
    <sheetView showGridLines="0" tabSelected="1" zoomScale="80" zoomScaleNormal="80" workbookViewId="0">
      <pane ySplit="4" topLeftCell="A12" activePane="bottomLeft" state="frozen"/>
      <selection pane="bottomLeft" activeCell="A12" sqref="A12:XFD16"/>
    </sheetView>
  </sheetViews>
  <sheetFormatPr baseColWidth="10" defaultColWidth="8.6640625" defaultRowHeight="14.4" x14ac:dyDescent="0.3"/>
  <cols>
    <col min="1" max="1" width="8" customWidth="1"/>
    <col min="2" max="2" width="12" customWidth="1"/>
    <col min="3" max="3" width="20" customWidth="1"/>
    <col min="4" max="4" width="14" customWidth="1"/>
    <col min="5" max="5" width="22" customWidth="1"/>
    <col min="6" max="6" width="34" customWidth="1"/>
    <col min="7" max="7" width="20" customWidth="1"/>
    <col min="8" max="9" width="14" customWidth="1"/>
    <col min="10" max="10" width="18" customWidth="1"/>
    <col min="11" max="13" width="16" customWidth="1"/>
    <col min="14" max="15" width="14" customWidth="1"/>
    <col min="16" max="16" width="26" customWidth="1"/>
  </cols>
  <sheetData>
    <row r="1" spans="1:17" ht="25.5" customHeight="1" x14ac:dyDescent="0.3">
      <c r="A1" s="70" t="s">
        <v>366</v>
      </c>
      <c r="B1" s="70"/>
      <c r="C1" s="70"/>
      <c r="D1" s="70"/>
      <c r="E1" s="70"/>
      <c r="F1" s="70"/>
      <c r="G1" s="70"/>
      <c r="H1" s="70"/>
      <c r="I1" s="70"/>
      <c r="J1" s="70"/>
      <c r="K1" s="70"/>
      <c r="L1" s="70"/>
      <c r="M1" s="70"/>
      <c r="N1" s="70"/>
      <c r="O1" s="70"/>
      <c r="P1" s="70"/>
      <c r="Q1" s="70"/>
    </row>
    <row r="2" spans="1:17" ht="15.75" customHeight="1" x14ac:dyDescent="0.3">
      <c r="A2" s="71" t="s">
        <v>367</v>
      </c>
      <c r="B2" s="71"/>
      <c r="C2" s="71"/>
      <c r="D2" s="71"/>
      <c r="E2" s="71"/>
      <c r="F2" s="71"/>
      <c r="G2" s="71"/>
      <c r="H2" s="71"/>
      <c r="I2" s="71"/>
      <c r="J2" s="71"/>
      <c r="K2" s="71"/>
      <c r="L2" s="71"/>
      <c r="M2" s="71"/>
      <c r="N2" s="71"/>
      <c r="O2" s="71"/>
      <c r="P2" s="71"/>
      <c r="Q2" s="71"/>
    </row>
    <row r="3" spans="1:17" ht="15.75" customHeight="1" x14ac:dyDescent="0.3">
      <c r="A3" s="72" t="s">
        <v>368</v>
      </c>
      <c r="B3" s="72"/>
      <c r="C3" s="72"/>
      <c r="D3" s="72"/>
      <c r="E3" s="72" t="s">
        <v>369</v>
      </c>
      <c r="F3" s="72"/>
      <c r="G3" s="72"/>
      <c r="H3" s="72"/>
      <c r="I3" s="72"/>
      <c r="J3" s="72"/>
      <c r="K3" s="72"/>
      <c r="L3" s="72" t="s">
        <v>370</v>
      </c>
      <c r="M3" s="72"/>
      <c r="N3" s="72"/>
      <c r="O3" s="72" t="s">
        <v>371</v>
      </c>
      <c r="P3" s="72"/>
    </row>
    <row r="4" spans="1:17" ht="39.75" customHeight="1" x14ac:dyDescent="0.3">
      <c r="A4" s="21" t="s">
        <v>372</v>
      </c>
      <c r="B4" s="21" t="s">
        <v>373</v>
      </c>
      <c r="C4" s="21" t="s">
        <v>374</v>
      </c>
      <c r="D4" s="21" t="s">
        <v>375</v>
      </c>
      <c r="E4" s="21" t="s">
        <v>376</v>
      </c>
      <c r="F4" s="21" t="s">
        <v>377</v>
      </c>
      <c r="G4" s="21" t="s">
        <v>378</v>
      </c>
      <c r="H4" s="21" t="s">
        <v>379</v>
      </c>
      <c r="I4" s="21" t="s">
        <v>380</v>
      </c>
      <c r="J4" s="21" t="s">
        <v>381</v>
      </c>
      <c r="K4" s="21" t="s">
        <v>382</v>
      </c>
      <c r="L4" s="21" t="s">
        <v>383</v>
      </c>
      <c r="M4" s="21" t="s">
        <v>384</v>
      </c>
      <c r="N4" s="21" t="s">
        <v>385</v>
      </c>
      <c r="O4" s="21" t="s">
        <v>386</v>
      </c>
      <c r="P4" s="21" t="s">
        <v>387</v>
      </c>
    </row>
    <row r="5" spans="1:17" ht="41.4" x14ac:dyDescent="0.3">
      <c r="A5" s="27">
        <v>1</v>
      </c>
      <c r="B5" s="27" t="s">
        <v>344</v>
      </c>
      <c r="C5" s="28" t="str">
        <f>IFERROR(VLOOKUP(B5,'Matriz de riesgos'!$A:$B,2,0),"")</f>
        <v/>
      </c>
      <c r="D5" s="24" t="str">
        <f>IFERROR(VLOOKUP(B5,'Matriz de riesgos'!$A:$O,15,0),"")</f>
        <v/>
      </c>
      <c r="E5" s="23" t="s">
        <v>317</v>
      </c>
      <c r="F5" s="11" t="s">
        <v>388</v>
      </c>
      <c r="G5" s="11" t="s">
        <v>294</v>
      </c>
      <c r="H5" s="11" t="s">
        <v>389</v>
      </c>
      <c r="I5" s="11" t="s">
        <v>390</v>
      </c>
      <c r="J5" s="11" t="s">
        <v>391</v>
      </c>
      <c r="K5" s="11" t="s">
        <v>392</v>
      </c>
      <c r="L5" s="11"/>
      <c r="M5" s="11"/>
      <c r="N5" s="24" t="str">
        <f>IF(OR(L5="",M5=""),"",INDEX('Datos maestros'!$B$162:$F$165,VALUE(LEFT(M5,1)),VALUE(LEFT(L5,1))))</f>
        <v/>
      </c>
      <c r="O5" s="11"/>
      <c r="P5" s="13"/>
    </row>
    <row r="6" spans="1:17" ht="41.4" x14ac:dyDescent="0.3">
      <c r="A6" s="27">
        <v>2</v>
      </c>
      <c r="B6" s="27" t="s">
        <v>345</v>
      </c>
      <c r="C6" s="28" t="str">
        <f>IFERROR(VLOOKUP(B6,'Matriz de riesgos'!$A:$B,2,0),"")</f>
        <v/>
      </c>
      <c r="D6" s="24" t="str">
        <f>IFERROR(VLOOKUP(B6,'Matriz de riesgos'!$A:$O,15,0),"")</f>
        <v/>
      </c>
      <c r="E6" s="23" t="s">
        <v>317</v>
      </c>
      <c r="F6" s="11" t="s">
        <v>393</v>
      </c>
      <c r="G6" s="11" t="s">
        <v>293</v>
      </c>
      <c r="H6" s="11" t="s">
        <v>394</v>
      </c>
      <c r="I6" s="11" t="s">
        <v>395</v>
      </c>
      <c r="J6" s="11" t="s">
        <v>396</v>
      </c>
      <c r="K6" s="11" t="s">
        <v>325</v>
      </c>
      <c r="L6" s="11"/>
      <c r="M6" s="11"/>
      <c r="N6" s="24" t="str">
        <f>IF(OR(L6="",M6=""),"",INDEX('Datos maestros'!$B$162:$F$165,VALUE(LEFT(M6,1)),VALUE(LEFT(L6,1))))</f>
        <v/>
      </c>
      <c r="O6" s="11"/>
      <c r="P6" s="11" t="s">
        <v>397</v>
      </c>
    </row>
    <row r="7" spans="1:17" ht="41.4" x14ac:dyDescent="0.3">
      <c r="A7" s="27">
        <v>3</v>
      </c>
      <c r="B7" s="27" t="s">
        <v>346</v>
      </c>
      <c r="C7" s="28" t="str">
        <f>IFERROR(VLOOKUP(B7,'Matriz de riesgos'!$A:$B,2,0),"")</f>
        <v/>
      </c>
      <c r="D7" s="24" t="str">
        <f>IFERROR(VLOOKUP(B7,'Matriz de riesgos'!$A:$O,15,0),"")</f>
        <v/>
      </c>
      <c r="E7" s="23" t="s">
        <v>317</v>
      </c>
      <c r="F7" s="11" t="s">
        <v>398</v>
      </c>
      <c r="G7" s="11" t="s">
        <v>292</v>
      </c>
      <c r="H7" s="11" t="s">
        <v>394</v>
      </c>
      <c r="I7" s="11" t="s">
        <v>399</v>
      </c>
      <c r="J7" s="11" t="s">
        <v>400</v>
      </c>
      <c r="K7" s="11" t="s">
        <v>325</v>
      </c>
      <c r="L7" s="11"/>
      <c r="M7" s="11"/>
      <c r="N7" s="24" t="str">
        <f>IF(OR(L7="",M7=""),"",INDEX('Datos maestros'!$B$162:$F$165,VALUE(LEFT(M7,1)),VALUE(LEFT(L7,1))))</f>
        <v/>
      </c>
      <c r="O7" s="11"/>
      <c r="P7" s="11" t="s">
        <v>401</v>
      </c>
    </row>
    <row r="8" spans="1:17" ht="41.4" x14ac:dyDescent="0.3">
      <c r="A8" s="27">
        <v>4</v>
      </c>
      <c r="B8" s="27" t="s">
        <v>347</v>
      </c>
      <c r="C8" s="28" t="str">
        <f>IFERROR(VLOOKUP(B8,'Matriz de riesgos'!$A:$B,2,0),"")</f>
        <v/>
      </c>
      <c r="D8" s="24" t="str">
        <f>IFERROR(VLOOKUP(B8,'Matriz de riesgos'!$A:$O,15,0),"")</f>
        <v/>
      </c>
      <c r="E8" s="23" t="s">
        <v>317</v>
      </c>
      <c r="F8" s="11" t="s">
        <v>402</v>
      </c>
      <c r="G8" s="11" t="s">
        <v>292</v>
      </c>
      <c r="H8" s="11" t="s">
        <v>394</v>
      </c>
      <c r="I8" s="11" t="s">
        <v>399</v>
      </c>
      <c r="J8" s="11" t="s">
        <v>403</v>
      </c>
      <c r="K8" s="11" t="s">
        <v>325</v>
      </c>
      <c r="L8" s="11"/>
      <c r="M8" s="11"/>
      <c r="N8" s="24" t="str">
        <f>IF(OR(L8="",M8=""),"",INDEX('Datos maestros'!$B$162:$F$165,VALUE(LEFT(M8,1)),VALUE(LEFT(L8,1))))</f>
        <v/>
      </c>
      <c r="O8" s="11"/>
      <c r="P8" s="13"/>
    </row>
    <row r="9" spans="1:17" ht="27.6" x14ac:dyDescent="0.3">
      <c r="A9" s="27">
        <v>5</v>
      </c>
      <c r="B9" s="27" t="s">
        <v>348</v>
      </c>
      <c r="C9" s="28" t="str">
        <f>IFERROR(VLOOKUP(B9,'Matriz de riesgos'!$A:$B,2,0),"")</f>
        <v/>
      </c>
      <c r="D9" s="24" t="str">
        <f>IFERROR(VLOOKUP(B9,'Matriz de riesgos'!$A:$O,15,0),"")</f>
        <v/>
      </c>
      <c r="E9" s="23" t="s">
        <v>317</v>
      </c>
      <c r="F9" s="11" t="s">
        <v>404</v>
      </c>
      <c r="G9" s="11" t="s">
        <v>294</v>
      </c>
      <c r="H9" s="11" t="s">
        <v>399</v>
      </c>
      <c r="I9" s="11" t="s">
        <v>405</v>
      </c>
      <c r="J9" s="11" t="s">
        <v>391</v>
      </c>
      <c r="K9" s="11" t="s">
        <v>325</v>
      </c>
      <c r="L9" s="11"/>
      <c r="M9" s="11"/>
      <c r="N9" s="24" t="str">
        <f>IF(OR(L9="",M9=""),"",INDEX('Datos maestros'!$B$162:$F$165,VALUE(LEFT(M9,1)),VALUE(LEFT(L9,1))))</f>
        <v/>
      </c>
      <c r="O9" s="11"/>
      <c r="P9" s="11" t="s">
        <v>406</v>
      </c>
    </row>
    <row r="10" spans="1:17" ht="41.4" x14ac:dyDescent="0.3">
      <c r="A10" s="27">
        <v>6</v>
      </c>
      <c r="B10" s="27" t="s">
        <v>349</v>
      </c>
      <c r="C10" s="28" t="str">
        <f>IFERROR(VLOOKUP(B10,'Matriz de riesgos'!$A:$B,2,0),"")</f>
        <v/>
      </c>
      <c r="D10" s="24" t="str">
        <f>IFERROR(VLOOKUP(B10,'Matriz de riesgos'!$A:$O,15,0),"")</f>
        <v/>
      </c>
      <c r="E10" s="23" t="s">
        <v>317</v>
      </c>
      <c r="F10" s="11" t="s">
        <v>407</v>
      </c>
      <c r="G10" s="11" t="s">
        <v>294</v>
      </c>
      <c r="H10" s="11" t="s">
        <v>408</v>
      </c>
      <c r="I10" s="11" t="s">
        <v>409</v>
      </c>
      <c r="J10" s="11" t="s">
        <v>391</v>
      </c>
      <c r="K10" s="11" t="s">
        <v>324</v>
      </c>
      <c r="L10" s="11"/>
      <c r="M10" s="11"/>
      <c r="N10" s="24" t="str">
        <f>IF(OR(L10="",M10=""),"",INDEX('Datos maestros'!$B$162:$F$165,VALUE(LEFT(M10,1)),VALUE(LEFT(L10,1))))</f>
        <v/>
      </c>
      <c r="O10" s="11"/>
      <c r="P10" s="11" t="s">
        <v>410</v>
      </c>
    </row>
    <row r="11" spans="1:17" ht="96.6" x14ac:dyDescent="0.3">
      <c r="A11" s="27">
        <v>7</v>
      </c>
      <c r="B11" s="27" t="s">
        <v>350</v>
      </c>
      <c r="C11" s="28" t="str">
        <f>IFERROR(VLOOKUP(B11,'Matriz de riesgos'!$A:$B,2,0),"")</f>
        <v/>
      </c>
      <c r="D11" s="24" t="str">
        <f>IFERROR(VLOOKUP(B11,'Matriz de riesgos'!$A:$O,15,0),"")</f>
        <v/>
      </c>
      <c r="E11" s="23" t="s">
        <v>317</v>
      </c>
      <c r="F11" s="11" t="s">
        <v>411</v>
      </c>
      <c r="G11" s="11" t="s">
        <v>292</v>
      </c>
      <c r="H11" s="11" t="s">
        <v>405</v>
      </c>
      <c r="I11" s="11" t="s">
        <v>412</v>
      </c>
      <c r="J11" s="11" t="s">
        <v>400</v>
      </c>
      <c r="K11" s="11" t="s">
        <v>325</v>
      </c>
      <c r="L11" s="11"/>
      <c r="M11" s="11"/>
      <c r="N11" s="24" t="str">
        <f>IF(OR(L11="",M11=""),"",INDEX('Datos maestros'!$B$162:$F$165,VALUE(LEFT(M11,1)),VALUE(LEFT(L11,1))))</f>
        <v/>
      </c>
      <c r="O11" s="11"/>
      <c r="P11" s="11" t="s">
        <v>413</v>
      </c>
    </row>
    <row r="12" spans="1:17" ht="27.6" x14ac:dyDescent="0.3">
      <c r="A12" s="27">
        <v>13</v>
      </c>
      <c r="B12" s="27" t="s">
        <v>352</v>
      </c>
      <c r="C12" s="28" t="str">
        <f>IFERROR(VLOOKUP(B12,'Matriz de riesgos'!$A:$B,2,0),"")</f>
        <v>Validación de comprobantes OSE</v>
      </c>
      <c r="D12" s="24" t="str">
        <f>IFERROR(VLOOKUP(B12,'Matriz de riesgos'!$A:$O,15,0),"")</f>
        <v>Alto</v>
      </c>
      <c r="E12" s="23" t="s">
        <v>317</v>
      </c>
      <c r="F12" s="11" t="s">
        <v>415</v>
      </c>
      <c r="G12" s="11" t="s">
        <v>309</v>
      </c>
      <c r="H12" s="11" t="s">
        <v>414</v>
      </c>
      <c r="I12" s="67" t="s">
        <v>574</v>
      </c>
      <c r="J12" s="11" t="s">
        <v>416</v>
      </c>
      <c r="K12" s="11" t="s">
        <v>392</v>
      </c>
      <c r="L12" s="11"/>
      <c r="M12" s="11"/>
      <c r="N12" s="24" t="str">
        <f>IF(OR(L12="",M12=""),"",INDEX('Datos maestros'!$B$162:$F$165,VALUE(LEFT(M12,1)),VALUE(LEFT(L12,1))))</f>
        <v/>
      </c>
      <c r="O12" s="11"/>
      <c r="P12" s="11" t="s">
        <v>417</v>
      </c>
    </row>
    <row r="13" spans="1:17" s="51" customFormat="1" ht="248.4" x14ac:dyDescent="0.3">
      <c r="A13" s="27">
        <v>14</v>
      </c>
      <c r="B13" s="27" t="s">
        <v>356</v>
      </c>
      <c r="C13" s="56" t="str">
        <f>IFERROR(VLOOKUP(B13,'Matriz de riesgos'!$A:$B,2,0),"")</f>
        <v>Gestion de operaciones</v>
      </c>
      <c r="D13" s="24" t="str">
        <f>IFERROR(VLOOKUP(B13,'Matriz de riesgos'!$A:$O,15,0),"")</f>
        <v>Alto</v>
      </c>
      <c r="E13" s="50" t="s">
        <v>317</v>
      </c>
      <c r="F13" s="49" t="s">
        <v>576</v>
      </c>
      <c r="G13" s="49" t="s">
        <v>294</v>
      </c>
      <c r="H13" s="49" t="s">
        <v>414</v>
      </c>
      <c r="I13" s="68" t="s">
        <v>574</v>
      </c>
      <c r="J13" s="52" t="s">
        <v>575</v>
      </c>
      <c r="K13" s="49" t="s">
        <v>324</v>
      </c>
      <c r="L13" s="49"/>
      <c r="M13" s="49"/>
      <c r="N13" s="24" t="str">
        <f>IF(OR(L13="",M13=""),"",INDEX('Datos maestros'!$B$162:$F$165,VALUE(LEFT(M13,1)),VALUE(LEFT(L13,1))))</f>
        <v/>
      </c>
      <c r="O13" s="49"/>
      <c r="P13" s="49" t="s">
        <v>417</v>
      </c>
    </row>
    <row r="14" spans="1:17" s="51" customFormat="1" ht="82.8" x14ac:dyDescent="0.3">
      <c r="A14" s="27">
        <v>15</v>
      </c>
      <c r="B14" s="27" t="s">
        <v>357</v>
      </c>
      <c r="C14" s="56" t="str">
        <f>IFERROR(VLOOKUP(B14,'Matriz de riesgos'!$A:$B,2,0),"")</f>
        <v>Gestión del éxito y atención del cliente</v>
      </c>
      <c r="D14" s="24" t="str">
        <f>IFERROR(VLOOKUP(B14,'Matriz de riesgos'!$A:$O,15,0),"")</f>
        <v>Alto</v>
      </c>
      <c r="E14" s="50" t="s">
        <v>317</v>
      </c>
      <c r="F14" s="49" t="s">
        <v>419</v>
      </c>
      <c r="G14" s="49" t="s">
        <v>292</v>
      </c>
      <c r="H14" s="49" t="s">
        <v>414</v>
      </c>
      <c r="I14" s="49" t="s">
        <v>418</v>
      </c>
      <c r="J14" s="52" t="s">
        <v>559</v>
      </c>
      <c r="K14" s="49" t="s">
        <v>325</v>
      </c>
      <c r="L14" s="49" t="s">
        <v>269</v>
      </c>
      <c r="M14" s="49" t="s">
        <v>278</v>
      </c>
      <c r="N14" s="24" t="str">
        <f>IF(OR(L14="",M14=""),"",INDEX('Datos maestros'!$B$162:$F$165,VALUE(LEFT(M14,1)),VALUE(LEFT(L14,1))))</f>
        <v>Bajo</v>
      </c>
      <c r="O14" s="63">
        <v>45870</v>
      </c>
      <c r="P14" s="49" t="s">
        <v>419</v>
      </c>
    </row>
    <row r="15" spans="1:17" s="55" customFormat="1" ht="179.4" x14ac:dyDescent="0.3">
      <c r="A15" s="27">
        <v>16</v>
      </c>
      <c r="B15" s="27" t="s">
        <v>359</v>
      </c>
      <c r="C15" s="54" t="str">
        <f>IFERROR(VLOOKUP(B15,'Matriz de riesgos'!$A:$B,2,0),"")</f>
        <v>Facturación y cobranza</v>
      </c>
      <c r="D15" s="24" t="str">
        <f>IFERROR(VLOOKUP(B15,'Matriz de riesgos'!$A:$O,15,0),"")</f>
        <v>Alto</v>
      </c>
      <c r="E15" s="53" t="s">
        <v>317</v>
      </c>
      <c r="F15" s="52" t="s">
        <v>558</v>
      </c>
      <c r="G15" s="52" t="s">
        <v>292</v>
      </c>
      <c r="H15" s="52" t="s">
        <v>414</v>
      </c>
      <c r="I15" s="52" t="s">
        <v>418</v>
      </c>
      <c r="J15" s="52" t="s">
        <v>559</v>
      </c>
      <c r="K15" s="52" t="s">
        <v>325</v>
      </c>
      <c r="L15" s="52" t="s">
        <v>269</v>
      </c>
      <c r="M15" s="52" t="s">
        <v>278</v>
      </c>
      <c r="N15" s="62" t="str">
        <f>IF(OR(L15="",M15=""),"",INDEX('Datos maestros'!$B$162:$F$165,VALUE(LEFT(M15,1)),VALUE(LEFT(L15,1))))</f>
        <v>Bajo</v>
      </c>
      <c r="O15" s="63">
        <v>45778</v>
      </c>
      <c r="P15" s="52" t="s">
        <v>557</v>
      </c>
    </row>
    <row r="16" spans="1:17" s="55" customFormat="1" ht="207" x14ac:dyDescent="0.3">
      <c r="A16" s="27">
        <v>17</v>
      </c>
      <c r="B16" s="27" t="s">
        <v>360</v>
      </c>
      <c r="C16" s="54" t="str">
        <f>IFERROR(VLOOKUP(B16,'Matriz de riesgos'!$A:$B,2,0),"")</f>
        <v>Gestion de operaciones</v>
      </c>
      <c r="D16" s="26" t="str">
        <f>IFERROR(VLOOKUP(B16,'Matriz de riesgos'!$A:$O,15,0),"")</f>
        <v>Alto</v>
      </c>
      <c r="E16" s="52" t="s">
        <v>317</v>
      </c>
      <c r="F16" s="52" t="s">
        <v>546</v>
      </c>
      <c r="G16" s="52" t="s">
        <v>306</v>
      </c>
      <c r="H16" s="63">
        <v>45778</v>
      </c>
      <c r="I16" s="63">
        <v>45992</v>
      </c>
      <c r="J16" s="52" t="s">
        <v>535</v>
      </c>
      <c r="K16" s="52" t="s">
        <v>324</v>
      </c>
      <c r="L16" s="52" t="s">
        <v>271</v>
      </c>
      <c r="M16" s="52" t="s">
        <v>276</v>
      </c>
      <c r="N16" s="26" t="str">
        <f>IF(OR(L16="",M16=""),"",INDEX('Datos maestros'!$B$162:$F$165,VALUE(LEFT(M16,1)),VALUE(LEFT(L16,1))))</f>
        <v>Bajo</v>
      </c>
      <c r="O16" s="52"/>
      <c r="P16" s="52" t="s">
        <v>545</v>
      </c>
    </row>
    <row r="17" spans="1:16" s="55" customFormat="1" ht="96.6" x14ac:dyDescent="0.3">
      <c r="A17" s="27">
        <f t="shared" ref="A17:A45" si="0">IF(B17="","",ROW()-4)</f>
        <v>13</v>
      </c>
      <c r="B17" s="27" t="s">
        <v>361</v>
      </c>
      <c r="C17" s="54" t="str">
        <f>IFERROR(VLOOKUP(B17,'Matriz de riesgos'!$A:$B,2,0),"")</f>
        <v>Gestión del éxito y atención del cliente</v>
      </c>
      <c r="D17" s="26" t="str">
        <f>IFERROR(VLOOKUP(B17,'Matriz de riesgos'!$A:$O,15,0),"")</f>
        <v>Medio</v>
      </c>
      <c r="E17" s="52" t="s">
        <v>317</v>
      </c>
      <c r="F17" s="52" t="s">
        <v>532</v>
      </c>
      <c r="G17" s="52" t="s">
        <v>294</v>
      </c>
      <c r="H17" s="63">
        <v>46113</v>
      </c>
      <c r="I17" s="63">
        <v>46174</v>
      </c>
      <c r="J17" s="52" t="s">
        <v>535</v>
      </c>
      <c r="K17" s="52" t="s">
        <v>325</v>
      </c>
      <c r="L17" s="52" t="s">
        <v>267</v>
      </c>
      <c r="M17" s="52" t="s">
        <v>278</v>
      </c>
      <c r="N17" s="26" t="str">
        <f>IF(OR(L17="",M17=""),"",INDEX('Datos maestros'!$B$162:$F$165,VALUE(LEFT(M17,1)),VALUE(LEFT(L17,1))))</f>
        <v>Bajo</v>
      </c>
      <c r="O17" s="64">
        <v>46283</v>
      </c>
      <c r="P17" s="52" t="s">
        <v>536</v>
      </c>
    </row>
    <row r="18" spans="1:16" s="55" customFormat="1" ht="69" x14ac:dyDescent="0.3">
      <c r="A18" s="27">
        <f t="shared" si="0"/>
        <v>14</v>
      </c>
      <c r="B18" s="27" t="s">
        <v>362</v>
      </c>
      <c r="C18" s="54" t="str">
        <f>IFERROR(VLOOKUP(B18,'Matriz de riesgos'!$A:$B,2,0),"")</f>
        <v>Ingenieria y calidad de sofware</v>
      </c>
      <c r="D18" s="26" t="str">
        <f>IFERROR(VLOOKUP(B18,'Matriz de riesgos'!$A:$O,15,0),"")</f>
        <v>Alto</v>
      </c>
      <c r="E18" s="52" t="s">
        <v>317</v>
      </c>
      <c r="F18" s="52" t="s">
        <v>525</v>
      </c>
      <c r="G18" s="52" t="s">
        <v>294</v>
      </c>
      <c r="H18" s="63">
        <v>46143</v>
      </c>
      <c r="I18" s="63">
        <v>46204</v>
      </c>
      <c r="J18" s="52" t="s">
        <v>535</v>
      </c>
      <c r="K18" s="52" t="s">
        <v>325</v>
      </c>
      <c r="L18" s="52" t="s">
        <v>265</v>
      </c>
      <c r="M18" s="52" t="s">
        <v>276</v>
      </c>
      <c r="N18" s="26" t="str">
        <f>IF(OR(L18="",M18=""),"",INDEX('Datos maestros'!$B$162:$F$165,VALUE(LEFT(M18,1)),VALUE(LEFT(L18,1))))</f>
        <v>Muy bajo</v>
      </c>
      <c r="O18" s="64">
        <v>46258</v>
      </c>
      <c r="P18" s="52" t="s">
        <v>526</v>
      </c>
    </row>
    <row r="19" spans="1:16" ht="27.6" x14ac:dyDescent="0.3">
      <c r="A19" s="27">
        <v>20</v>
      </c>
      <c r="B19" s="27" t="s">
        <v>363</v>
      </c>
      <c r="C19" s="28" t="str">
        <f>IFERROR(VLOOKUP(B19,'Matriz de riesgos'!$A:$B,2,0),"")</f>
        <v>Ingenieria y calidad de sofware</v>
      </c>
      <c r="D19" s="26" t="str">
        <f>IFERROR(VLOOKUP(B19,'Matriz de riesgos'!$A:$O,15,0),"")</f>
        <v>Alto</v>
      </c>
      <c r="E19" s="11" t="s">
        <v>317</v>
      </c>
      <c r="F19" s="11" t="s">
        <v>550</v>
      </c>
      <c r="G19" s="11" t="s">
        <v>293</v>
      </c>
      <c r="H19" s="65">
        <v>46266</v>
      </c>
      <c r="I19" s="65">
        <v>46327</v>
      </c>
      <c r="J19" s="11"/>
      <c r="K19" s="11"/>
      <c r="L19" s="11"/>
      <c r="M19" s="11"/>
      <c r="N19" s="26" t="str">
        <f>IF(OR(L19="",M19=""),"",INDEX('Datos maestros'!$B$162:$F$165,VALUE(LEFT(M19,1)),VALUE(LEFT(L19,1))))</f>
        <v/>
      </c>
      <c r="O19" s="11"/>
      <c r="P19" s="11"/>
    </row>
    <row r="20" spans="1:16" s="51" customFormat="1" ht="41.4" x14ac:dyDescent="0.3">
      <c r="A20" s="27">
        <v>21</v>
      </c>
      <c r="B20" s="27" t="s">
        <v>364</v>
      </c>
      <c r="C20" s="56" t="str">
        <f>IFERROR(VLOOKUP(B20,'Matriz de riesgos'!$A:$B,2,0),"")</f>
        <v>Gestion de operaciones</v>
      </c>
      <c r="D20" s="26" t="str">
        <f>IFERROR(VLOOKUP(B20,'Matriz de riesgos'!$A:$O,15,0),"")</f>
        <v>Alto</v>
      </c>
      <c r="E20" s="49" t="s">
        <v>317</v>
      </c>
      <c r="F20" s="49" t="s">
        <v>548</v>
      </c>
      <c r="G20" s="49" t="s">
        <v>293</v>
      </c>
      <c r="H20" s="63">
        <v>46266</v>
      </c>
      <c r="I20" s="63">
        <v>46296</v>
      </c>
      <c r="J20" s="52" t="s">
        <v>549</v>
      </c>
      <c r="K20" s="49" t="s">
        <v>324</v>
      </c>
      <c r="L20" s="49"/>
      <c r="M20" s="49"/>
      <c r="N20" s="26" t="str">
        <f>IF(OR(L20="",M20=""),"",INDEX('Datos maestros'!$B$162:$F$165,VALUE(LEFT(M20,1)),VALUE(LEFT(L20,1))))</f>
        <v/>
      </c>
      <c r="O20" s="49"/>
      <c r="P20" s="49"/>
    </row>
    <row r="21" spans="1:16" s="51" customFormat="1" ht="124.2" x14ac:dyDescent="0.3">
      <c r="A21" s="27">
        <v>22</v>
      </c>
      <c r="B21" s="27" t="s">
        <v>448</v>
      </c>
      <c r="C21" s="56" t="str">
        <f>IFERROR(VLOOKUP(B21,'Matriz de riesgos'!$A:$B,2,0),"")</f>
        <v>Infraestructura tecnológica</v>
      </c>
      <c r="D21" s="26" t="str">
        <f>IFERROR(VLOOKUP(B21,'Matriz de riesgos'!$A:$O,15,0),"")</f>
        <v>Alto</v>
      </c>
      <c r="E21" s="49" t="s">
        <v>317</v>
      </c>
      <c r="F21" s="49" t="s">
        <v>547</v>
      </c>
      <c r="G21" s="49" t="s">
        <v>293</v>
      </c>
      <c r="H21" s="63">
        <v>46266</v>
      </c>
      <c r="I21" s="63">
        <v>46296</v>
      </c>
      <c r="J21" s="49" t="s">
        <v>430</v>
      </c>
      <c r="K21" s="49" t="s">
        <v>324</v>
      </c>
      <c r="L21" s="49"/>
      <c r="M21" s="49"/>
      <c r="N21" s="26" t="str">
        <f>IF(OR(L21="",M21=""),"",INDEX('Datos maestros'!$B$162:$F$165,VALUE(LEFT(M21,1)),VALUE(LEFT(L21,1))))</f>
        <v/>
      </c>
      <c r="O21" s="49"/>
      <c r="P21" s="49"/>
    </row>
    <row r="22" spans="1:16" x14ac:dyDescent="0.3">
      <c r="A22" s="27" t="str">
        <f t="shared" si="0"/>
        <v/>
      </c>
      <c r="B22" s="11"/>
      <c r="C22" s="28" t="str">
        <f>IFERROR(VLOOKUP(B22,'Matriz de riesgos'!$A:$B,2,0),"")</f>
        <v/>
      </c>
      <c r="D22" s="26" t="str">
        <f>IFERROR(VLOOKUP(B22,'Matriz de riesgos'!$A:$O,15,0),"")</f>
        <v/>
      </c>
      <c r="E22" s="11"/>
      <c r="F22" s="11"/>
      <c r="G22" s="11"/>
      <c r="H22" s="11"/>
      <c r="I22" s="11"/>
      <c r="J22" s="11"/>
      <c r="K22" s="11"/>
      <c r="L22" s="11"/>
      <c r="M22" s="11"/>
      <c r="N22" s="26" t="str">
        <f>IF(OR(L22="",M22=""),"",INDEX('Datos maestros'!$B$162:$F$165,VALUE(LEFT(M22,1)),VALUE(LEFT(L22,1))))</f>
        <v/>
      </c>
      <c r="O22" s="11"/>
      <c r="P22" s="11"/>
    </row>
    <row r="23" spans="1:16" x14ac:dyDescent="0.3">
      <c r="A23" s="27" t="str">
        <f t="shared" si="0"/>
        <v/>
      </c>
      <c r="B23" s="11"/>
      <c r="C23" s="28" t="str">
        <f>IFERROR(VLOOKUP(B23,'Matriz de riesgos'!$A:$B,2,0),"")</f>
        <v/>
      </c>
      <c r="D23" s="26" t="str">
        <f>IFERROR(VLOOKUP(B23,'Matriz de riesgos'!$A:$O,15,0),"")</f>
        <v/>
      </c>
      <c r="E23" s="11"/>
      <c r="F23" s="11"/>
      <c r="G23" s="11"/>
      <c r="H23" s="11"/>
      <c r="I23" s="11"/>
      <c r="J23" s="11"/>
      <c r="K23" s="11"/>
      <c r="L23" s="11"/>
      <c r="M23" s="11"/>
      <c r="N23" s="26" t="str">
        <f>IF(OR(L23="",M23=""),"",INDEX('Datos maestros'!$B$162:$F$165,VALUE(LEFT(M23,1)),VALUE(LEFT(L23,1))))</f>
        <v/>
      </c>
      <c r="O23" s="11"/>
      <c r="P23" s="11"/>
    </row>
    <row r="24" spans="1:16" x14ac:dyDescent="0.3">
      <c r="A24" s="27" t="str">
        <f t="shared" si="0"/>
        <v/>
      </c>
      <c r="B24" s="11"/>
      <c r="C24" s="28" t="str">
        <f>IFERROR(VLOOKUP(B24,'Matriz de riesgos'!$A:$B,2,0),"")</f>
        <v/>
      </c>
      <c r="D24" s="26" t="str">
        <f>IFERROR(VLOOKUP(B24,'Matriz de riesgos'!$A:$O,15,0),"")</f>
        <v/>
      </c>
      <c r="E24" s="11"/>
      <c r="F24" s="11"/>
      <c r="G24" s="11"/>
      <c r="H24" s="11"/>
      <c r="I24" s="11"/>
      <c r="J24" s="11"/>
      <c r="K24" s="11"/>
      <c r="L24" s="11"/>
      <c r="M24" s="11"/>
      <c r="N24" s="26" t="str">
        <f>IF(OR(L24="",M24=""),"",INDEX('Datos maestros'!$B$162:$F$165,VALUE(LEFT(M24,1)),VALUE(LEFT(L24,1))))</f>
        <v/>
      </c>
      <c r="O24" s="11"/>
      <c r="P24" s="11"/>
    </row>
    <row r="25" spans="1:16" x14ac:dyDescent="0.3">
      <c r="A25" s="27" t="str">
        <f t="shared" si="0"/>
        <v/>
      </c>
      <c r="B25" s="11"/>
      <c r="C25" s="28" t="str">
        <f>IFERROR(VLOOKUP(B25,'Matriz de riesgos'!$A:$B,2,0),"")</f>
        <v/>
      </c>
      <c r="D25" s="26" t="str">
        <f>IFERROR(VLOOKUP(B25,'Matriz de riesgos'!$A:$O,15,0),"")</f>
        <v/>
      </c>
      <c r="E25" s="11"/>
      <c r="F25" s="11"/>
      <c r="G25" s="11"/>
      <c r="H25" s="11"/>
      <c r="I25" s="11"/>
      <c r="J25" s="11"/>
      <c r="K25" s="11"/>
      <c r="L25" s="11"/>
      <c r="M25" s="11"/>
      <c r="N25" s="26" t="str">
        <f>IF(OR(L25="",M25=""),"",INDEX('Datos maestros'!$B$162:$F$165,VALUE(LEFT(M25,1)),VALUE(LEFT(L25,1))))</f>
        <v/>
      </c>
      <c r="O25" s="11"/>
      <c r="P25" s="11"/>
    </row>
    <row r="26" spans="1:16" x14ac:dyDescent="0.3">
      <c r="A26" s="27" t="str">
        <f t="shared" si="0"/>
        <v/>
      </c>
      <c r="B26" s="11"/>
      <c r="C26" s="28" t="str">
        <f>IFERROR(VLOOKUP(B26,'Matriz de riesgos'!$A:$B,2,0),"")</f>
        <v/>
      </c>
      <c r="D26" s="26" t="str">
        <f>IFERROR(VLOOKUP(B26,'Matriz de riesgos'!$A:$O,15,0),"")</f>
        <v/>
      </c>
      <c r="E26" s="11"/>
      <c r="F26" s="11"/>
      <c r="G26" s="11"/>
      <c r="H26" s="11"/>
      <c r="I26" s="11"/>
      <c r="J26" s="11"/>
      <c r="K26" s="11"/>
      <c r="L26" s="11"/>
      <c r="M26" s="11"/>
      <c r="N26" s="26" t="str">
        <f>IF(OR(L26="",M26=""),"",INDEX('Datos maestros'!$B$162:$F$165,VALUE(LEFT(M26,1)),VALUE(LEFT(L26,1))))</f>
        <v/>
      </c>
      <c r="O26" s="11"/>
      <c r="P26" s="11"/>
    </row>
    <row r="27" spans="1:16" x14ac:dyDescent="0.3">
      <c r="A27" s="27" t="str">
        <f t="shared" si="0"/>
        <v/>
      </c>
      <c r="B27" s="11"/>
      <c r="C27" s="28" t="str">
        <f>IFERROR(VLOOKUP(B27,'Matriz de riesgos'!$A:$B,2,0),"")</f>
        <v/>
      </c>
      <c r="D27" s="26" t="str">
        <f>IFERROR(VLOOKUP(B27,'Matriz de riesgos'!$A:$O,15,0),"")</f>
        <v/>
      </c>
      <c r="E27" s="11"/>
      <c r="F27" s="11"/>
      <c r="G27" s="11"/>
      <c r="H27" s="11"/>
      <c r="I27" s="11"/>
      <c r="J27" s="11"/>
      <c r="K27" s="11"/>
      <c r="L27" s="11"/>
      <c r="M27" s="11"/>
      <c r="N27" s="26" t="str">
        <f>IF(OR(L27="",M27=""),"",INDEX('Datos maestros'!$B$162:$F$165,VALUE(LEFT(M27,1)),VALUE(LEFT(L27,1))))</f>
        <v/>
      </c>
      <c r="O27" s="11"/>
      <c r="P27" s="11"/>
    </row>
    <row r="28" spans="1:16" x14ac:dyDescent="0.3">
      <c r="A28" s="27" t="str">
        <f t="shared" si="0"/>
        <v/>
      </c>
      <c r="B28" s="11"/>
      <c r="C28" s="28" t="str">
        <f>IFERROR(VLOOKUP(B28,'Matriz de riesgos'!$A:$B,2,0),"")</f>
        <v/>
      </c>
      <c r="D28" s="26" t="str">
        <f>IFERROR(VLOOKUP(B28,'Matriz de riesgos'!$A:$O,15,0),"")</f>
        <v/>
      </c>
      <c r="E28" s="11"/>
      <c r="F28" s="11"/>
      <c r="G28" s="11"/>
      <c r="H28" s="11"/>
      <c r="I28" s="11"/>
      <c r="J28" s="11"/>
      <c r="K28" s="11"/>
      <c r="L28" s="11"/>
      <c r="M28" s="11"/>
      <c r="N28" s="26" t="str">
        <f>IF(OR(L28="",M28=""),"",INDEX('Datos maestros'!$B$162:$F$165,VALUE(LEFT(M28,1)),VALUE(LEFT(L28,1))))</f>
        <v/>
      </c>
      <c r="O28" s="11"/>
      <c r="P28" s="11"/>
    </row>
    <row r="29" spans="1:16" x14ac:dyDescent="0.3">
      <c r="A29" s="27" t="str">
        <f t="shared" si="0"/>
        <v/>
      </c>
      <c r="B29" s="11"/>
      <c r="C29" s="28" t="str">
        <f>IFERROR(VLOOKUP(B29,'Matriz de riesgos'!$A:$B,2,0),"")</f>
        <v/>
      </c>
      <c r="D29" s="26" t="str">
        <f>IFERROR(VLOOKUP(B29,'Matriz de riesgos'!$A:$O,15,0),"")</f>
        <v/>
      </c>
      <c r="E29" s="11"/>
      <c r="F29" s="11"/>
      <c r="G29" s="11"/>
      <c r="H29" s="11"/>
      <c r="I29" s="11"/>
      <c r="J29" s="11"/>
      <c r="K29" s="11"/>
      <c r="L29" s="11"/>
      <c r="M29" s="11"/>
      <c r="N29" s="26" t="str">
        <f>IF(OR(L29="",M29=""),"",INDEX('Datos maestros'!$B$162:$F$165,VALUE(LEFT(M29,1)),VALUE(LEFT(L29,1))))</f>
        <v/>
      </c>
      <c r="O29" s="11"/>
      <c r="P29" s="11"/>
    </row>
    <row r="30" spans="1:16" x14ac:dyDescent="0.3">
      <c r="A30" s="27" t="str">
        <f t="shared" si="0"/>
        <v/>
      </c>
      <c r="B30" s="11"/>
      <c r="C30" s="28" t="str">
        <f>IFERROR(VLOOKUP(B30,'Matriz de riesgos'!$A:$B,2,0),"")</f>
        <v/>
      </c>
      <c r="D30" s="26" t="str">
        <f>IFERROR(VLOOKUP(B30,'Matriz de riesgos'!$A:$O,15,0),"")</f>
        <v/>
      </c>
      <c r="E30" s="11"/>
      <c r="F30" s="11"/>
      <c r="G30" s="11"/>
      <c r="H30" s="11"/>
      <c r="I30" s="11"/>
      <c r="J30" s="11"/>
      <c r="K30" s="11"/>
      <c r="L30" s="11"/>
      <c r="M30" s="11"/>
      <c r="N30" s="26" t="str">
        <f>IF(OR(L30="",M30=""),"",INDEX('Datos maestros'!$B$162:$F$165,VALUE(LEFT(M30,1)),VALUE(LEFT(L30,1))))</f>
        <v/>
      </c>
      <c r="O30" s="11"/>
      <c r="P30" s="11"/>
    </row>
    <row r="31" spans="1:16" x14ac:dyDescent="0.3">
      <c r="A31" s="27" t="str">
        <f t="shared" si="0"/>
        <v/>
      </c>
      <c r="B31" s="11"/>
      <c r="C31" s="28" t="str">
        <f>IFERROR(VLOOKUP(B31,'Matriz de riesgos'!$A:$B,2,0),"")</f>
        <v/>
      </c>
      <c r="D31" s="26" t="str">
        <f>IFERROR(VLOOKUP(B31,'Matriz de riesgos'!$A:$O,15,0),"")</f>
        <v/>
      </c>
      <c r="E31" s="11"/>
      <c r="F31" s="11"/>
      <c r="G31" s="11"/>
      <c r="H31" s="11"/>
      <c r="I31" s="11"/>
      <c r="J31" s="11"/>
      <c r="K31" s="11"/>
      <c r="L31" s="11"/>
      <c r="M31" s="11"/>
      <c r="N31" s="26" t="str">
        <f>IF(OR(L31="",M31=""),"",INDEX('Datos maestros'!$B$162:$F$165,VALUE(LEFT(M31,1)),VALUE(LEFT(L31,1))))</f>
        <v/>
      </c>
      <c r="O31" s="11"/>
      <c r="P31" s="11"/>
    </row>
    <row r="32" spans="1:16" x14ac:dyDescent="0.3">
      <c r="A32" s="27" t="str">
        <f t="shared" si="0"/>
        <v/>
      </c>
      <c r="B32" s="11"/>
      <c r="C32" s="28" t="str">
        <f>IFERROR(VLOOKUP(B32,'Matriz de riesgos'!$A:$B,2,0),"")</f>
        <v/>
      </c>
      <c r="D32" s="26" t="str">
        <f>IFERROR(VLOOKUP(B32,'Matriz de riesgos'!$A:$O,15,0),"")</f>
        <v/>
      </c>
      <c r="E32" s="11"/>
      <c r="F32" s="11"/>
      <c r="G32" s="11"/>
      <c r="H32" s="11"/>
      <c r="I32" s="11"/>
      <c r="J32" s="11"/>
      <c r="K32" s="11"/>
      <c r="L32" s="11"/>
      <c r="M32" s="11"/>
      <c r="N32" s="26" t="str">
        <f>IF(OR(L32="",M32=""),"",INDEX('Datos maestros'!$B$162:$F$165,VALUE(LEFT(M32,1)),VALUE(LEFT(L32,1))))</f>
        <v/>
      </c>
      <c r="O32" s="11"/>
      <c r="P32" s="11"/>
    </row>
    <row r="33" spans="1:16" x14ac:dyDescent="0.3">
      <c r="A33" s="27" t="str">
        <f t="shared" si="0"/>
        <v/>
      </c>
      <c r="B33" s="11"/>
      <c r="C33" s="28" t="str">
        <f>IFERROR(VLOOKUP(B33,'Matriz de riesgos'!$A:$B,2,0),"")</f>
        <v/>
      </c>
      <c r="D33" s="26" t="str">
        <f>IFERROR(VLOOKUP(B33,'Matriz de riesgos'!$A:$O,15,0),"")</f>
        <v/>
      </c>
      <c r="E33" s="11"/>
      <c r="F33" s="11"/>
      <c r="G33" s="11"/>
      <c r="H33" s="11"/>
      <c r="I33" s="11"/>
      <c r="J33" s="11"/>
      <c r="K33" s="11"/>
      <c r="L33" s="11"/>
      <c r="M33" s="11"/>
      <c r="N33" s="26" t="str">
        <f>IF(OR(L33="",M33=""),"",INDEX('Datos maestros'!$B$162:$F$165,VALUE(LEFT(M33,1)),VALUE(LEFT(L33,1))))</f>
        <v/>
      </c>
      <c r="O33" s="11"/>
      <c r="P33" s="11"/>
    </row>
    <row r="34" spans="1:16" x14ac:dyDescent="0.3">
      <c r="A34" s="27" t="str">
        <f t="shared" si="0"/>
        <v/>
      </c>
      <c r="B34" s="11"/>
      <c r="C34" s="28" t="str">
        <f>IFERROR(VLOOKUP(B34,'Matriz de riesgos'!$A:$B,2,0),"")</f>
        <v/>
      </c>
      <c r="D34" s="26" t="str">
        <f>IFERROR(VLOOKUP(B34,'Matriz de riesgos'!$A:$O,15,0),"")</f>
        <v/>
      </c>
      <c r="E34" s="11"/>
      <c r="F34" s="11"/>
      <c r="G34" s="11"/>
      <c r="H34" s="11"/>
      <c r="I34" s="11"/>
      <c r="J34" s="11"/>
      <c r="K34" s="11"/>
      <c r="L34" s="11"/>
      <c r="M34" s="11"/>
      <c r="N34" s="26" t="str">
        <f>IF(OR(L34="",M34=""),"",INDEX('Datos maestros'!$B$162:$F$165,VALUE(LEFT(M34,1)),VALUE(LEFT(L34,1))))</f>
        <v/>
      </c>
      <c r="O34" s="11"/>
      <c r="P34" s="11"/>
    </row>
    <row r="35" spans="1:16" x14ac:dyDescent="0.3">
      <c r="A35" s="27" t="str">
        <f t="shared" si="0"/>
        <v/>
      </c>
      <c r="B35" s="11"/>
      <c r="C35" s="28" t="str">
        <f>IFERROR(VLOOKUP(B35,'Matriz de riesgos'!$A:$B,2,0),"")</f>
        <v/>
      </c>
      <c r="D35" s="26" t="str">
        <f>IFERROR(VLOOKUP(B35,'Matriz de riesgos'!$A:$O,15,0),"")</f>
        <v/>
      </c>
      <c r="E35" s="11"/>
      <c r="F35" s="11"/>
      <c r="G35" s="11"/>
      <c r="H35" s="11"/>
      <c r="I35" s="11"/>
      <c r="J35" s="11"/>
      <c r="K35" s="11"/>
      <c r="L35" s="11"/>
      <c r="M35" s="11"/>
      <c r="N35" s="26" t="str">
        <f>IF(OR(L35="",M35=""),"",INDEX('Datos maestros'!$B$162:$F$165,VALUE(LEFT(M35,1)),VALUE(LEFT(L35,1))))</f>
        <v/>
      </c>
      <c r="O35" s="11"/>
      <c r="P35" s="11"/>
    </row>
    <row r="36" spans="1:16" x14ac:dyDescent="0.3">
      <c r="A36" s="27" t="str">
        <f t="shared" si="0"/>
        <v/>
      </c>
      <c r="B36" s="11"/>
      <c r="C36" s="28" t="str">
        <f>IFERROR(VLOOKUP(B36,'Matriz de riesgos'!$A:$B,2,0),"")</f>
        <v/>
      </c>
      <c r="D36" s="26" t="str">
        <f>IFERROR(VLOOKUP(B36,'Matriz de riesgos'!$A:$O,15,0),"")</f>
        <v/>
      </c>
      <c r="E36" s="11"/>
      <c r="F36" s="11"/>
      <c r="G36" s="11"/>
      <c r="H36" s="11"/>
      <c r="I36" s="11"/>
      <c r="J36" s="11"/>
      <c r="K36" s="11"/>
      <c r="L36" s="11"/>
      <c r="M36" s="11"/>
      <c r="N36" s="26" t="str">
        <f>IF(OR(L36="",M36=""),"",INDEX('Datos maestros'!$B$162:$F$165,VALUE(LEFT(M36,1)),VALUE(LEFT(L36,1))))</f>
        <v/>
      </c>
      <c r="O36" s="11"/>
      <c r="P36" s="11"/>
    </row>
    <row r="37" spans="1:16" x14ac:dyDescent="0.3">
      <c r="A37" s="27" t="str">
        <f t="shared" si="0"/>
        <v/>
      </c>
      <c r="B37" s="11"/>
      <c r="C37" s="28" t="str">
        <f>IFERROR(VLOOKUP(B37,'Matriz de riesgos'!$A:$B,2,0),"")</f>
        <v/>
      </c>
      <c r="D37" s="26" t="str">
        <f>IFERROR(VLOOKUP(B37,'Matriz de riesgos'!$A:$O,15,0),"")</f>
        <v/>
      </c>
      <c r="E37" s="11"/>
      <c r="F37" s="11"/>
      <c r="G37" s="11"/>
      <c r="H37" s="11"/>
      <c r="I37" s="11"/>
      <c r="J37" s="11"/>
      <c r="K37" s="11"/>
      <c r="L37" s="11"/>
      <c r="M37" s="11"/>
      <c r="N37" s="26" t="str">
        <f>IF(OR(L37="",M37=""),"",INDEX('Datos maestros'!$B$162:$F$165,VALUE(LEFT(M37,1)),VALUE(LEFT(L37,1))))</f>
        <v/>
      </c>
      <c r="O37" s="11"/>
      <c r="P37" s="11"/>
    </row>
    <row r="38" spans="1:16" x14ac:dyDescent="0.3">
      <c r="A38" s="27" t="str">
        <f t="shared" si="0"/>
        <v/>
      </c>
      <c r="B38" s="11"/>
      <c r="C38" s="28" t="str">
        <f>IFERROR(VLOOKUP(B38,'Matriz de riesgos'!$A:$B,2,0),"")</f>
        <v/>
      </c>
      <c r="D38" s="26" t="str">
        <f>IFERROR(VLOOKUP(B38,'Matriz de riesgos'!$A:$O,15,0),"")</f>
        <v/>
      </c>
      <c r="E38" s="11"/>
      <c r="F38" s="11"/>
      <c r="G38" s="11"/>
      <c r="H38" s="11"/>
      <c r="I38" s="11"/>
      <c r="J38" s="11"/>
      <c r="K38" s="11"/>
      <c r="L38" s="11"/>
      <c r="M38" s="11"/>
      <c r="N38" s="26" t="str">
        <f>IF(OR(L38="",M38=""),"",INDEX('Datos maestros'!$B$162:$F$165,VALUE(LEFT(M38,1)),VALUE(LEFT(L38,1))))</f>
        <v/>
      </c>
      <c r="O38" s="11"/>
      <c r="P38" s="11"/>
    </row>
    <row r="39" spans="1:16" x14ac:dyDescent="0.3">
      <c r="A39" s="27" t="str">
        <f t="shared" si="0"/>
        <v/>
      </c>
      <c r="B39" s="11"/>
      <c r="C39" s="28" t="str">
        <f>IFERROR(VLOOKUP(B39,'Matriz de riesgos'!$A:$B,2,0),"")</f>
        <v/>
      </c>
      <c r="D39" s="26" t="str">
        <f>IFERROR(VLOOKUP(B39,'Matriz de riesgos'!$A:$O,15,0),"")</f>
        <v/>
      </c>
      <c r="E39" s="11"/>
      <c r="F39" s="11"/>
      <c r="G39" s="11"/>
      <c r="H39" s="11"/>
      <c r="I39" s="11"/>
      <c r="J39" s="11"/>
      <c r="K39" s="11"/>
      <c r="L39" s="11"/>
      <c r="M39" s="11"/>
      <c r="N39" s="26" t="str">
        <f>IF(OR(L39="",M39=""),"",INDEX('Datos maestros'!$B$162:$F$165,VALUE(LEFT(M39,1)),VALUE(LEFT(L39,1))))</f>
        <v/>
      </c>
      <c r="O39" s="11"/>
      <c r="P39" s="11"/>
    </row>
    <row r="40" spans="1:16" x14ac:dyDescent="0.3">
      <c r="A40" s="27" t="str">
        <f t="shared" si="0"/>
        <v/>
      </c>
      <c r="B40" s="11"/>
      <c r="C40" s="28" t="str">
        <f>IFERROR(VLOOKUP(B40,'Matriz de riesgos'!$A:$B,2,0),"")</f>
        <v/>
      </c>
      <c r="D40" s="26" t="str">
        <f>IFERROR(VLOOKUP(B40,'Matriz de riesgos'!$A:$O,15,0),"")</f>
        <v/>
      </c>
      <c r="E40" s="11"/>
      <c r="F40" s="11"/>
      <c r="G40" s="11"/>
      <c r="H40" s="11"/>
      <c r="I40" s="11"/>
      <c r="J40" s="11"/>
      <c r="K40" s="11"/>
      <c r="L40" s="11"/>
      <c r="M40" s="11"/>
      <c r="N40" s="26" t="str">
        <f>IF(OR(L40="",M40=""),"",INDEX('Datos maestros'!$B$162:$F$165,VALUE(LEFT(M40,1)),VALUE(LEFT(L40,1))))</f>
        <v/>
      </c>
      <c r="O40" s="11"/>
      <c r="P40" s="11"/>
    </row>
    <row r="41" spans="1:16" x14ac:dyDescent="0.3">
      <c r="A41" s="27" t="str">
        <f t="shared" si="0"/>
        <v/>
      </c>
      <c r="B41" s="11"/>
      <c r="C41" s="28" t="str">
        <f>IFERROR(VLOOKUP(B41,'Matriz de riesgos'!$A:$B,2,0),"")</f>
        <v/>
      </c>
      <c r="D41" s="26" t="str">
        <f>IFERROR(VLOOKUP(B41,'Matriz de riesgos'!$A:$O,15,0),"")</f>
        <v/>
      </c>
      <c r="E41" s="11"/>
      <c r="F41" s="11"/>
      <c r="G41" s="11"/>
      <c r="H41" s="11"/>
      <c r="I41" s="11"/>
      <c r="J41" s="11"/>
      <c r="K41" s="11"/>
      <c r="L41" s="11"/>
      <c r="M41" s="11"/>
      <c r="N41" s="26" t="str">
        <f>IF(OR(L41="",M41=""),"",INDEX('Datos maestros'!$B$162:$F$165,VALUE(LEFT(M41,1)),VALUE(LEFT(L41,1))))</f>
        <v/>
      </c>
      <c r="O41" s="11"/>
      <c r="P41" s="11"/>
    </row>
    <row r="42" spans="1:16" x14ac:dyDescent="0.3">
      <c r="A42" s="27" t="str">
        <f t="shared" si="0"/>
        <v/>
      </c>
      <c r="B42" s="11"/>
      <c r="C42" s="28" t="str">
        <f>IFERROR(VLOOKUP(B42,'Matriz de riesgos'!$A:$B,2,0),"")</f>
        <v/>
      </c>
      <c r="D42" s="26" t="str">
        <f>IFERROR(VLOOKUP(B42,'Matriz de riesgos'!$A:$O,15,0),"")</f>
        <v/>
      </c>
      <c r="E42" s="11"/>
      <c r="F42" s="11"/>
      <c r="G42" s="11"/>
      <c r="H42" s="11"/>
      <c r="I42" s="11"/>
      <c r="J42" s="11"/>
      <c r="K42" s="11"/>
      <c r="L42" s="11"/>
      <c r="M42" s="11"/>
      <c r="N42" s="26" t="str">
        <f>IF(OR(L42="",M42=""),"",INDEX('Datos maestros'!$B$162:$F$165,VALUE(LEFT(M42,1)),VALUE(LEFT(L42,1))))</f>
        <v/>
      </c>
      <c r="O42" s="11"/>
      <c r="P42" s="11"/>
    </row>
    <row r="43" spans="1:16" x14ac:dyDescent="0.3">
      <c r="A43" s="27" t="str">
        <f t="shared" si="0"/>
        <v/>
      </c>
      <c r="B43" s="11"/>
      <c r="C43" s="28" t="str">
        <f>IFERROR(VLOOKUP(B43,'Matriz de riesgos'!$A:$B,2,0),"")</f>
        <v/>
      </c>
      <c r="D43" s="26" t="str">
        <f>IFERROR(VLOOKUP(B43,'Matriz de riesgos'!$A:$O,15,0),"")</f>
        <v/>
      </c>
      <c r="E43" s="11"/>
      <c r="F43" s="11"/>
      <c r="G43" s="11"/>
      <c r="H43" s="11"/>
      <c r="I43" s="11"/>
      <c r="J43" s="11"/>
      <c r="K43" s="11"/>
      <c r="L43" s="11"/>
      <c r="M43" s="11"/>
      <c r="N43" s="26" t="str">
        <f>IF(OR(L43="",M43=""),"",INDEX('Datos maestros'!$B$162:$F$165,VALUE(LEFT(M43,1)),VALUE(LEFT(L43,1))))</f>
        <v/>
      </c>
      <c r="O43" s="11"/>
      <c r="P43" s="11"/>
    </row>
    <row r="44" spans="1:16" x14ac:dyDescent="0.3">
      <c r="A44" s="27" t="str">
        <f t="shared" si="0"/>
        <v/>
      </c>
      <c r="B44" s="11"/>
      <c r="C44" s="28" t="str">
        <f>IFERROR(VLOOKUP(B44,'Matriz de riesgos'!$A:$B,2,0),"")</f>
        <v/>
      </c>
      <c r="D44" s="26" t="str">
        <f>IFERROR(VLOOKUP(B44,'Matriz de riesgos'!$A:$O,15,0),"")</f>
        <v/>
      </c>
      <c r="E44" s="11"/>
      <c r="F44" s="11"/>
      <c r="G44" s="11"/>
      <c r="H44" s="11"/>
      <c r="I44" s="11"/>
      <c r="J44" s="11"/>
      <c r="K44" s="11"/>
      <c r="L44" s="11"/>
      <c r="M44" s="11"/>
      <c r="N44" s="26" t="str">
        <f>IF(OR(L44="",M44=""),"",INDEX('Datos maestros'!$B$162:$F$165,VALUE(LEFT(M44,1)),VALUE(LEFT(L44,1))))</f>
        <v/>
      </c>
      <c r="O44" s="11"/>
      <c r="P44" s="11"/>
    </row>
    <row r="45" spans="1:16" x14ac:dyDescent="0.3">
      <c r="A45" s="27" t="str">
        <f t="shared" si="0"/>
        <v/>
      </c>
      <c r="B45" s="11"/>
      <c r="C45" s="28" t="str">
        <f>IFERROR(VLOOKUP(B45,'Matriz de riesgos'!$A:$B,2,0),"")</f>
        <v/>
      </c>
      <c r="D45" s="26" t="str">
        <f>IFERROR(VLOOKUP(B45,'Matriz de riesgos'!$A:$O,15,0),"")</f>
        <v/>
      </c>
      <c r="E45" s="11"/>
      <c r="F45" s="11"/>
      <c r="G45" s="11"/>
      <c r="H45" s="11"/>
      <c r="I45" s="11"/>
      <c r="J45" s="11"/>
      <c r="K45" s="11"/>
      <c r="L45" s="11"/>
      <c r="M45" s="11"/>
      <c r="N45" s="26" t="str">
        <f>IF(OR(L45="",M45=""),"",INDEX('Datos maestros'!$B$162:$F$165,VALUE(LEFT(M45,1)),VALUE(LEFT(L45,1))))</f>
        <v/>
      </c>
      <c r="O45" s="11"/>
      <c r="P45" s="11"/>
    </row>
  </sheetData>
  <mergeCells count="6">
    <mergeCell ref="A1:Q1"/>
    <mergeCell ref="A2:Q2"/>
    <mergeCell ref="A3:D3"/>
    <mergeCell ref="E3:K3"/>
    <mergeCell ref="L3:N3"/>
    <mergeCell ref="O3:P3"/>
  </mergeCells>
  <phoneticPr fontId="18" type="noConversion"/>
  <conditionalFormatting sqref="D5:D45 N5:N45">
    <cfRule type="cellIs" dxfId="8" priority="2" operator="equal">
      <formula>"Muy bajo"</formula>
    </cfRule>
    <cfRule type="cellIs" dxfId="7" priority="3" operator="equal">
      <formula>"Bajo"</formula>
    </cfRule>
    <cfRule type="cellIs" dxfId="6" priority="4" operator="equal">
      <formula>"Medio"</formula>
    </cfRule>
    <cfRule type="cellIs" dxfId="5" priority="5" operator="equal">
      <formula>"Alto"</formula>
    </cfRule>
    <cfRule type="cellIs" dxfId="4" priority="6" operator="equal">
      <formula>"Muy alto"</formula>
    </cfRule>
  </conditionalFormatting>
  <conditionalFormatting sqref="K5:K45">
    <cfRule type="cellIs" dxfId="3" priority="12" operator="equal">
      <formula>"Pendiente"</formula>
    </cfRule>
    <cfRule type="cellIs" dxfId="2" priority="13" operator="equal">
      <formula>"En tratamiento"</formula>
    </cfRule>
    <cfRule type="cellIs" dxfId="1" priority="14" operator="equal">
      <formula>"Mitigado / Cerrado"</formula>
    </cfRule>
    <cfRule type="cellIs" dxfId="0" priority="15" operator="equal">
      <formula>"Aceptado"</formula>
    </cfRule>
  </conditionalFormatting>
  <pageMargins left="0.75" right="0.75" top="1" bottom="1" header="0.511811023622047" footer="0.511811023622047"/>
  <pageSetup paperSize="9" orientation="portrait" horizontalDpi="300" verticalDpi="300"/>
  <headerFooter>
    <oddHeader>&amp;R&amp;"Aptos"&amp;10&amp;K000000 Uso interno&amp;1#_x000D_</oddHeader>
  </headerFooter>
  <extLst>
    <ext xmlns:x14="http://schemas.microsoft.com/office/spreadsheetml/2009/9/main" uri="{CCE6A557-97BC-4b89-ADB6-D9C93CAAB3DF}">
      <x14:dataValidations xmlns:xm="http://schemas.microsoft.com/office/excel/2006/main" count="6">
        <x14:dataValidation type="list" allowBlank="1" xr:uid="{00000000-0002-0000-0300-000001000000}">
          <x14:formula1>
            <xm:f>'Datos maestros'!$A$196:$A$199</xm:f>
          </x14:formula1>
          <x14:formula2>
            <xm:f>0</xm:f>
          </x14:formula2>
          <xm:sqref>E5:E46</xm:sqref>
        </x14:dataValidation>
        <x14:dataValidation type="list" allowBlank="1" xr:uid="{00000000-0002-0000-0300-000002000000}">
          <x14:formula1>
            <xm:f>'Datos maestros'!$A$169:$A$192</xm:f>
          </x14:formula1>
          <x14:formula2>
            <xm:f>0</xm:f>
          </x14:formula2>
          <xm:sqref>G5:G46</xm:sqref>
        </x14:dataValidation>
        <x14:dataValidation type="list" allowBlank="1" xr:uid="{00000000-0002-0000-0300-000003000000}">
          <x14:formula1>
            <xm:f>'Datos maestros'!$A$203:$A$207</xm:f>
          </x14:formula1>
          <x14:formula2>
            <xm:f>0</xm:f>
          </x14:formula2>
          <xm:sqref>K5:K46</xm:sqref>
        </x14:dataValidation>
        <x14:dataValidation type="list" allowBlank="1" xr:uid="{00000000-0002-0000-0300-000004000000}">
          <x14:formula1>
            <xm:f>'Datos maestros'!$A$146:$A$150</xm:f>
          </x14:formula1>
          <x14:formula2>
            <xm:f>0</xm:f>
          </x14:formula2>
          <xm:sqref>L5:L46</xm:sqref>
        </x14:dataValidation>
        <x14:dataValidation type="list" allowBlank="1" xr:uid="{00000000-0002-0000-0300-000005000000}">
          <x14:formula1>
            <xm:f>'Datos maestros'!$A$154:$A$157</xm:f>
          </x14:formula1>
          <x14:formula2>
            <xm:f>0</xm:f>
          </x14:formula2>
          <xm:sqref>M5:M46</xm:sqref>
        </x14:dataValidation>
        <x14:dataValidation type="list" allowBlank="1" xr:uid="{00000000-0002-0000-0300-000000000000}">
          <x14:formula1>
            <xm:f>'Matriz de riesgos'!$A$5:$A$35</xm:f>
          </x14:formula1>
          <x14:formula2>
            <xm:f>0</xm:f>
          </x14:formula2>
          <xm:sqref>B5:B46</xm:sqref>
        </x14:dataValidation>
      </x14:dataValidations>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Guía y metodología</vt:lpstr>
      <vt:lpstr>Datos maestros</vt:lpstr>
      <vt:lpstr>Matriz de riesgos</vt:lpstr>
      <vt:lpstr>Mapa de calor</vt:lpstr>
      <vt:lpstr>Tratamiento de riesgos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Karim Salazar</cp:lastModifiedBy>
  <cp:revision>0</cp:revision>
  <dcterms:created xsi:type="dcterms:W3CDTF">2026-09-18T04:34:35Z</dcterms:created>
  <dcterms:modified xsi:type="dcterms:W3CDTF">2026-09-24T19:34:16Z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45174eb-66eb-49cb-b8cb-2ea983f95f24_Enabled">
    <vt:lpwstr>true</vt:lpwstr>
  </property>
  <property fmtid="{D5CDD505-2E9C-101B-9397-08002B2CF9AE}" pid="3" name="MSIP_Label_a45174eb-66eb-49cb-b8cb-2ea983f95f24_SetDate">
    <vt:lpwstr>2026-09-18T04:51:26Z</vt:lpwstr>
  </property>
  <property fmtid="{D5CDD505-2E9C-101B-9397-08002B2CF9AE}" pid="4" name="MSIP_Label_a45174eb-66eb-49cb-b8cb-2ea983f95f24_Method">
    <vt:lpwstr>Standard</vt:lpwstr>
  </property>
  <property fmtid="{D5CDD505-2E9C-101B-9397-08002B2CF9AE}" pid="5" name="MSIP_Label_a45174eb-66eb-49cb-b8cb-2ea983f95f24_Name">
    <vt:lpwstr>Interna</vt:lpwstr>
  </property>
  <property fmtid="{D5CDD505-2E9C-101B-9397-08002B2CF9AE}" pid="6" name="MSIP_Label_a45174eb-66eb-49cb-b8cb-2ea983f95f24_SiteId">
    <vt:lpwstr>12398458-05e7-471b-8555-7993154f0864</vt:lpwstr>
  </property>
  <property fmtid="{D5CDD505-2E9C-101B-9397-08002B2CF9AE}" pid="7" name="MSIP_Label_a45174eb-66eb-49cb-b8cb-2ea983f95f24_ActionId">
    <vt:lpwstr>093c3582-dc93-41cc-99ba-1a45736a96a8</vt:lpwstr>
  </property>
  <property fmtid="{D5CDD505-2E9C-101B-9397-08002B2CF9AE}" pid="8" name="MSIP_Label_a45174eb-66eb-49cb-b8cb-2ea983f95f24_ContentBits">
    <vt:lpwstr>1</vt:lpwstr>
  </property>
  <property fmtid="{D5CDD505-2E9C-101B-9397-08002B2CF9AE}" pid="9" name="MSIP_Label_a45174eb-66eb-49cb-b8cb-2ea983f95f24_Tag">
    <vt:lpwstr>10, 3, 0, 1</vt:lpwstr>
  </property>
</Properties>
</file>